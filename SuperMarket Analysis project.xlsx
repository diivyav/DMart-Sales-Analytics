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0947f5716e2923/Documents/"/>
    </mc:Choice>
  </mc:AlternateContent>
  <xr:revisionPtr revIDLastSave="0" documentId="8_{231A6947-41DB-4495-A221-7EB19C70D21B}" xr6:coauthVersionLast="47" xr6:coauthVersionMax="47" xr10:uidLastSave="{00000000-0000-0000-0000-000000000000}"/>
  <bookViews>
    <workbookView xWindow="-108" yWindow="-108" windowWidth="23256" windowHeight="12456" firstSheet="3" activeTab="6" xr2:uid="{89DDE121-D66E-4C53-B925-E74A1C32644D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uperMarket Analysis (1)" sheetId="1" r:id="rId6"/>
    <sheet name="dashboard" sheetId="2" r:id="rId7"/>
  </sheets>
  <calcPr calcId="191029"/>
  <pivotCaches>
    <pivotCache cacheId="0" r:id="rId8"/>
    <pivotCache cacheId="1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01" i="1" l="1"/>
  <c r="V1001" i="1" a="1"/>
  <c r="U1001" i="1"/>
  <c r="T1001" i="1"/>
  <c r="T1001" i="1" a="1"/>
  <c r="S1001" i="1"/>
  <c r="R1001" i="1"/>
  <c r="V1000" i="1"/>
  <c r="V1000" i="1" a="1"/>
  <c r="U1000" i="1"/>
  <c r="T1000" i="1"/>
  <c r="T1000" i="1" a="1"/>
  <c r="S1000" i="1"/>
  <c r="R1000" i="1"/>
  <c r="V999" i="1"/>
  <c r="V999" i="1" a="1"/>
  <c r="U999" i="1"/>
  <c r="T999" i="1"/>
  <c r="T999" i="1" a="1"/>
  <c r="S999" i="1"/>
  <c r="R999" i="1"/>
  <c r="V998" i="1"/>
  <c r="V998" i="1" a="1"/>
  <c r="U998" i="1"/>
  <c r="T998" i="1"/>
  <c r="T998" i="1" a="1"/>
  <c r="S998" i="1"/>
  <c r="R998" i="1"/>
  <c r="V997" i="1"/>
  <c r="V997" i="1" a="1"/>
  <c r="U997" i="1"/>
  <c r="T997" i="1"/>
  <c r="T997" i="1" a="1"/>
  <c r="S997" i="1"/>
  <c r="R997" i="1"/>
  <c r="V996" i="1"/>
  <c r="V996" i="1" a="1"/>
  <c r="U996" i="1"/>
  <c r="T996" i="1"/>
  <c r="T996" i="1" a="1"/>
  <c r="S996" i="1"/>
  <c r="R996" i="1"/>
  <c r="V995" i="1"/>
  <c r="V995" i="1" a="1"/>
  <c r="U995" i="1"/>
  <c r="T995" i="1"/>
  <c r="T995" i="1" a="1"/>
  <c r="S995" i="1"/>
  <c r="R995" i="1"/>
  <c r="V994" i="1"/>
  <c r="V994" i="1" a="1"/>
  <c r="U994" i="1"/>
  <c r="T994" i="1"/>
  <c r="T994" i="1" a="1"/>
  <c r="S994" i="1"/>
  <c r="R994" i="1"/>
  <c r="V993" i="1"/>
  <c r="V993" i="1" a="1"/>
  <c r="U993" i="1"/>
  <c r="T993" i="1"/>
  <c r="T993" i="1" a="1"/>
  <c r="S993" i="1"/>
  <c r="R993" i="1"/>
  <c r="V992" i="1"/>
  <c r="V992" i="1" a="1"/>
  <c r="U992" i="1"/>
  <c r="T992" i="1"/>
  <c r="T992" i="1" a="1"/>
  <c r="S992" i="1"/>
  <c r="R992" i="1"/>
  <c r="V991" i="1"/>
  <c r="V991" i="1" a="1"/>
  <c r="U991" i="1"/>
  <c r="T991" i="1"/>
  <c r="T991" i="1" a="1"/>
  <c r="S991" i="1"/>
  <c r="R991" i="1"/>
  <c r="V990" i="1"/>
  <c r="V990" i="1" a="1"/>
  <c r="U990" i="1"/>
  <c r="T990" i="1"/>
  <c r="T990" i="1" a="1"/>
  <c r="S990" i="1"/>
  <c r="R990" i="1"/>
  <c r="V989" i="1"/>
  <c r="V989" i="1" a="1"/>
  <c r="U989" i="1"/>
  <c r="T989" i="1"/>
  <c r="T989" i="1" a="1"/>
  <c r="S989" i="1"/>
  <c r="R989" i="1"/>
  <c r="V988" i="1"/>
  <c r="V988" i="1" a="1"/>
  <c r="U988" i="1"/>
  <c r="T988" i="1"/>
  <c r="T988" i="1" a="1"/>
  <c r="S988" i="1"/>
  <c r="R988" i="1"/>
  <c r="V987" i="1"/>
  <c r="V987" i="1" a="1"/>
  <c r="U987" i="1"/>
  <c r="T987" i="1"/>
  <c r="T987" i="1" a="1"/>
  <c r="S987" i="1"/>
  <c r="R987" i="1"/>
  <c r="V986" i="1"/>
  <c r="V986" i="1" a="1"/>
  <c r="U986" i="1"/>
  <c r="T986" i="1"/>
  <c r="T986" i="1" a="1"/>
  <c r="S986" i="1"/>
  <c r="R986" i="1"/>
  <c r="V985" i="1"/>
  <c r="V985" i="1" a="1"/>
  <c r="U985" i="1"/>
  <c r="T985" i="1"/>
  <c r="T985" i="1" a="1"/>
  <c r="S985" i="1"/>
  <c r="R985" i="1"/>
  <c r="V984" i="1"/>
  <c r="V984" i="1" a="1"/>
  <c r="U984" i="1"/>
  <c r="T984" i="1"/>
  <c r="T984" i="1" a="1"/>
  <c r="S984" i="1"/>
  <c r="R984" i="1"/>
  <c r="V983" i="1"/>
  <c r="V983" i="1" a="1"/>
  <c r="U983" i="1"/>
  <c r="T983" i="1"/>
  <c r="T983" i="1" a="1"/>
  <c r="S983" i="1"/>
  <c r="R983" i="1"/>
  <c r="V982" i="1"/>
  <c r="V982" i="1" a="1"/>
  <c r="U982" i="1"/>
  <c r="T982" i="1"/>
  <c r="T982" i="1" a="1"/>
  <c r="S982" i="1"/>
  <c r="R982" i="1"/>
  <c r="V981" i="1"/>
  <c r="V981" i="1" a="1"/>
  <c r="U981" i="1"/>
  <c r="T981" i="1"/>
  <c r="T981" i="1" a="1"/>
  <c r="S981" i="1"/>
  <c r="R981" i="1"/>
  <c r="V980" i="1"/>
  <c r="V980" i="1" a="1"/>
  <c r="U980" i="1"/>
  <c r="T980" i="1"/>
  <c r="T980" i="1" a="1"/>
  <c r="S980" i="1"/>
  <c r="R980" i="1"/>
  <c r="V979" i="1"/>
  <c r="V979" i="1" a="1"/>
  <c r="U979" i="1"/>
  <c r="T979" i="1"/>
  <c r="T979" i="1" a="1"/>
  <c r="S979" i="1"/>
  <c r="R979" i="1"/>
  <c r="V978" i="1"/>
  <c r="V978" i="1" a="1"/>
  <c r="U978" i="1"/>
  <c r="T978" i="1"/>
  <c r="T978" i="1" a="1"/>
  <c r="S978" i="1"/>
  <c r="R978" i="1"/>
  <c r="V977" i="1"/>
  <c r="V977" i="1" a="1"/>
  <c r="U977" i="1"/>
  <c r="T977" i="1"/>
  <c r="T977" i="1" a="1"/>
  <c r="S977" i="1"/>
  <c r="R977" i="1"/>
  <c r="V976" i="1"/>
  <c r="V976" i="1" a="1"/>
  <c r="U976" i="1"/>
  <c r="T976" i="1"/>
  <c r="T976" i="1" a="1"/>
  <c r="S976" i="1"/>
  <c r="R976" i="1"/>
  <c r="V975" i="1"/>
  <c r="V975" i="1" a="1"/>
  <c r="U975" i="1"/>
  <c r="T975" i="1"/>
  <c r="T975" i="1" a="1"/>
  <c r="S975" i="1"/>
  <c r="R975" i="1"/>
  <c r="V974" i="1"/>
  <c r="V974" i="1" a="1"/>
  <c r="U974" i="1"/>
  <c r="T974" i="1"/>
  <c r="T974" i="1" a="1"/>
  <c r="S974" i="1"/>
  <c r="R974" i="1"/>
  <c r="V973" i="1"/>
  <c r="V973" i="1" a="1"/>
  <c r="U973" i="1"/>
  <c r="T973" i="1"/>
  <c r="T973" i="1" a="1"/>
  <c r="S973" i="1"/>
  <c r="R973" i="1"/>
  <c r="V972" i="1"/>
  <c r="V972" i="1" a="1"/>
  <c r="U972" i="1"/>
  <c r="T972" i="1"/>
  <c r="T972" i="1" a="1"/>
  <c r="S972" i="1"/>
  <c r="R972" i="1"/>
  <c r="V971" i="1"/>
  <c r="V971" i="1" a="1"/>
  <c r="U971" i="1"/>
  <c r="T971" i="1"/>
  <c r="T971" i="1" a="1"/>
  <c r="S971" i="1"/>
  <c r="R971" i="1"/>
  <c r="V970" i="1"/>
  <c r="V970" i="1" a="1"/>
  <c r="U970" i="1"/>
  <c r="T970" i="1"/>
  <c r="T970" i="1" a="1"/>
  <c r="S970" i="1"/>
  <c r="R970" i="1"/>
  <c r="V969" i="1"/>
  <c r="V969" i="1" a="1"/>
  <c r="U969" i="1"/>
  <c r="T969" i="1"/>
  <c r="T969" i="1" a="1"/>
  <c r="S969" i="1"/>
  <c r="R969" i="1"/>
  <c r="V968" i="1"/>
  <c r="V968" i="1" a="1"/>
  <c r="U968" i="1"/>
  <c r="T968" i="1"/>
  <c r="T968" i="1" a="1"/>
  <c r="S968" i="1"/>
  <c r="R968" i="1"/>
  <c r="V967" i="1"/>
  <c r="V967" i="1" a="1"/>
  <c r="U967" i="1"/>
  <c r="T967" i="1"/>
  <c r="T967" i="1" a="1"/>
  <c r="S967" i="1"/>
  <c r="R967" i="1"/>
  <c r="V966" i="1"/>
  <c r="V966" i="1" a="1"/>
  <c r="U966" i="1"/>
  <c r="T966" i="1"/>
  <c r="T966" i="1" a="1"/>
  <c r="S966" i="1"/>
  <c r="R966" i="1"/>
  <c r="V965" i="1"/>
  <c r="V965" i="1" a="1"/>
  <c r="U965" i="1"/>
  <c r="T965" i="1"/>
  <c r="T965" i="1" a="1"/>
  <c r="S965" i="1"/>
  <c r="R965" i="1"/>
  <c r="V964" i="1"/>
  <c r="V964" i="1" a="1"/>
  <c r="U964" i="1"/>
  <c r="T964" i="1"/>
  <c r="T964" i="1" a="1"/>
  <c r="S964" i="1"/>
  <c r="R964" i="1"/>
  <c r="V963" i="1"/>
  <c r="V963" i="1" a="1"/>
  <c r="U963" i="1"/>
  <c r="T963" i="1"/>
  <c r="T963" i="1" a="1"/>
  <c r="S963" i="1"/>
  <c r="R963" i="1"/>
  <c r="V962" i="1"/>
  <c r="V962" i="1" a="1"/>
  <c r="U962" i="1"/>
  <c r="T962" i="1"/>
  <c r="T962" i="1" a="1"/>
  <c r="S962" i="1"/>
  <c r="R962" i="1"/>
  <c r="V961" i="1"/>
  <c r="V961" i="1" a="1"/>
  <c r="U961" i="1"/>
  <c r="T961" i="1"/>
  <c r="T961" i="1" a="1"/>
  <c r="S961" i="1"/>
  <c r="R961" i="1"/>
  <c r="V960" i="1"/>
  <c r="V960" i="1" a="1"/>
  <c r="U960" i="1"/>
  <c r="T960" i="1"/>
  <c r="T960" i="1" a="1"/>
  <c r="S960" i="1"/>
  <c r="R960" i="1"/>
  <c r="V959" i="1"/>
  <c r="V959" i="1" a="1"/>
  <c r="U959" i="1"/>
  <c r="T959" i="1"/>
  <c r="T959" i="1" a="1"/>
  <c r="S959" i="1"/>
  <c r="R959" i="1"/>
  <c r="V958" i="1"/>
  <c r="V958" i="1" a="1"/>
  <c r="U958" i="1"/>
  <c r="T958" i="1"/>
  <c r="T958" i="1" a="1"/>
  <c r="S958" i="1"/>
  <c r="R958" i="1"/>
  <c r="V957" i="1"/>
  <c r="V957" i="1" a="1"/>
  <c r="U957" i="1"/>
  <c r="T957" i="1"/>
  <c r="T957" i="1" a="1"/>
  <c r="S957" i="1"/>
  <c r="R957" i="1"/>
  <c r="V956" i="1"/>
  <c r="V956" i="1" a="1"/>
  <c r="U956" i="1"/>
  <c r="T956" i="1"/>
  <c r="T956" i="1" a="1"/>
  <c r="S956" i="1"/>
  <c r="R956" i="1"/>
  <c r="V955" i="1"/>
  <c r="V955" i="1" a="1"/>
  <c r="U955" i="1"/>
  <c r="T955" i="1"/>
  <c r="T955" i="1" a="1"/>
  <c r="S955" i="1"/>
  <c r="R955" i="1"/>
  <c r="V954" i="1"/>
  <c r="V954" i="1" a="1"/>
  <c r="U954" i="1"/>
  <c r="T954" i="1"/>
  <c r="T954" i="1" a="1"/>
  <c r="S954" i="1"/>
  <c r="R954" i="1"/>
  <c r="V953" i="1"/>
  <c r="V953" i="1" a="1"/>
  <c r="U953" i="1"/>
  <c r="T953" i="1"/>
  <c r="T953" i="1" a="1"/>
  <c r="S953" i="1"/>
  <c r="R953" i="1"/>
  <c r="V952" i="1"/>
  <c r="V952" i="1" a="1"/>
  <c r="U952" i="1"/>
  <c r="T952" i="1"/>
  <c r="T952" i="1" a="1"/>
  <c r="S952" i="1"/>
  <c r="R952" i="1"/>
  <c r="V951" i="1"/>
  <c r="V951" i="1" a="1"/>
  <c r="U951" i="1"/>
  <c r="T951" i="1"/>
  <c r="T951" i="1" a="1"/>
  <c r="S951" i="1"/>
  <c r="R951" i="1"/>
  <c r="V950" i="1"/>
  <c r="V950" i="1" a="1"/>
  <c r="U950" i="1"/>
  <c r="T950" i="1"/>
  <c r="T950" i="1" a="1"/>
  <c r="S950" i="1"/>
  <c r="R950" i="1"/>
  <c r="V949" i="1"/>
  <c r="V949" i="1" a="1"/>
  <c r="U949" i="1"/>
  <c r="T949" i="1"/>
  <c r="T949" i="1" a="1"/>
  <c r="S949" i="1"/>
  <c r="R949" i="1"/>
  <c r="V948" i="1"/>
  <c r="V948" i="1" a="1"/>
  <c r="U948" i="1"/>
  <c r="T948" i="1"/>
  <c r="T948" i="1" a="1"/>
  <c r="S948" i="1"/>
  <c r="R948" i="1"/>
  <c r="V947" i="1"/>
  <c r="V947" i="1" a="1"/>
  <c r="U947" i="1"/>
  <c r="T947" i="1"/>
  <c r="T947" i="1" a="1"/>
  <c r="S947" i="1"/>
  <c r="R947" i="1"/>
  <c r="V946" i="1"/>
  <c r="V946" i="1" a="1"/>
  <c r="U946" i="1"/>
  <c r="T946" i="1"/>
  <c r="T946" i="1" a="1"/>
  <c r="S946" i="1"/>
  <c r="R946" i="1"/>
  <c r="V945" i="1"/>
  <c r="V945" i="1" a="1"/>
  <c r="U945" i="1"/>
  <c r="T945" i="1"/>
  <c r="T945" i="1" a="1"/>
  <c r="S945" i="1"/>
  <c r="R945" i="1"/>
  <c r="V944" i="1"/>
  <c r="V944" i="1" a="1"/>
  <c r="U944" i="1"/>
  <c r="T944" i="1"/>
  <c r="T944" i="1" a="1"/>
  <c r="S944" i="1"/>
  <c r="R944" i="1"/>
  <c r="V943" i="1"/>
  <c r="V943" i="1" a="1"/>
  <c r="U943" i="1"/>
  <c r="T943" i="1"/>
  <c r="T943" i="1" a="1"/>
  <c r="S943" i="1"/>
  <c r="R943" i="1"/>
  <c r="V942" i="1"/>
  <c r="V942" i="1" a="1"/>
  <c r="U942" i="1"/>
  <c r="T942" i="1"/>
  <c r="T942" i="1" a="1"/>
  <c r="S942" i="1"/>
  <c r="R942" i="1"/>
  <c r="V941" i="1"/>
  <c r="V941" i="1" a="1"/>
  <c r="U941" i="1"/>
  <c r="T941" i="1"/>
  <c r="T941" i="1" a="1"/>
  <c r="S941" i="1"/>
  <c r="R941" i="1"/>
  <c r="V940" i="1"/>
  <c r="V940" i="1" a="1"/>
  <c r="U940" i="1"/>
  <c r="T940" i="1"/>
  <c r="T940" i="1" a="1"/>
  <c r="S940" i="1"/>
  <c r="R940" i="1"/>
  <c r="V939" i="1"/>
  <c r="V939" i="1" a="1"/>
  <c r="U939" i="1"/>
  <c r="T939" i="1"/>
  <c r="T939" i="1" a="1"/>
  <c r="S939" i="1"/>
  <c r="R939" i="1"/>
  <c r="V938" i="1"/>
  <c r="V938" i="1" a="1"/>
  <c r="U938" i="1"/>
  <c r="T938" i="1"/>
  <c r="T938" i="1" a="1"/>
  <c r="S938" i="1"/>
  <c r="R938" i="1"/>
  <c r="V937" i="1"/>
  <c r="V937" i="1" a="1"/>
  <c r="U937" i="1"/>
  <c r="T937" i="1"/>
  <c r="T937" i="1" a="1"/>
  <c r="S937" i="1"/>
  <c r="R937" i="1"/>
  <c r="V936" i="1"/>
  <c r="V936" i="1" a="1"/>
  <c r="U936" i="1"/>
  <c r="T936" i="1"/>
  <c r="T936" i="1" a="1"/>
  <c r="S936" i="1"/>
  <c r="R936" i="1"/>
  <c r="V935" i="1"/>
  <c r="V935" i="1" a="1"/>
  <c r="U935" i="1"/>
  <c r="T935" i="1"/>
  <c r="T935" i="1" a="1"/>
  <c r="S935" i="1"/>
  <c r="R935" i="1"/>
  <c r="V934" i="1"/>
  <c r="V934" i="1" a="1"/>
  <c r="U934" i="1"/>
  <c r="T934" i="1"/>
  <c r="T934" i="1" a="1"/>
  <c r="S934" i="1"/>
  <c r="R934" i="1"/>
  <c r="V933" i="1"/>
  <c r="V933" i="1" a="1"/>
  <c r="U933" i="1"/>
  <c r="T933" i="1"/>
  <c r="T933" i="1" a="1"/>
  <c r="S933" i="1"/>
  <c r="R933" i="1"/>
  <c r="V932" i="1"/>
  <c r="V932" i="1" a="1"/>
  <c r="U932" i="1"/>
  <c r="T932" i="1"/>
  <c r="T932" i="1" a="1"/>
  <c r="S932" i="1"/>
  <c r="R932" i="1"/>
  <c r="V931" i="1"/>
  <c r="V931" i="1" a="1"/>
  <c r="U931" i="1"/>
  <c r="T931" i="1"/>
  <c r="T931" i="1" a="1"/>
  <c r="S931" i="1"/>
  <c r="R931" i="1"/>
  <c r="V930" i="1"/>
  <c r="V930" i="1" a="1"/>
  <c r="U930" i="1"/>
  <c r="T930" i="1"/>
  <c r="T930" i="1" a="1"/>
  <c r="S930" i="1"/>
  <c r="R930" i="1"/>
  <c r="V929" i="1"/>
  <c r="V929" i="1" a="1"/>
  <c r="U929" i="1"/>
  <c r="T929" i="1"/>
  <c r="T929" i="1" a="1"/>
  <c r="S929" i="1"/>
  <c r="R929" i="1"/>
  <c r="V928" i="1"/>
  <c r="V928" i="1" a="1"/>
  <c r="U928" i="1"/>
  <c r="T928" i="1"/>
  <c r="T928" i="1" a="1"/>
  <c r="S928" i="1"/>
  <c r="R928" i="1"/>
  <c r="V927" i="1"/>
  <c r="V927" i="1" a="1"/>
  <c r="U927" i="1"/>
  <c r="T927" i="1"/>
  <c r="T927" i="1" a="1"/>
  <c r="S927" i="1"/>
  <c r="R927" i="1"/>
  <c r="V926" i="1"/>
  <c r="V926" i="1" a="1"/>
  <c r="U926" i="1"/>
  <c r="T926" i="1"/>
  <c r="T926" i="1" a="1"/>
  <c r="S926" i="1"/>
  <c r="R926" i="1"/>
  <c r="V925" i="1"/>
  <c r="V925" i="1" a="1"/>
  <c r="U925" i="1"/>
  <c r="T925" i="1"/>
  <c r="T925" i="1" a="1"/>
  <c r="S925" i="1"/>
  <c r="R925" i="1"/>
  <c r="V924" i="1"/>
  <c r="V924" i="1" a="1"/>
  <c r="U924" i="1"/>
  <c r="T924" i="1"/>
  <c r="T924" i="1" a="1"/>
  <c r="S924" i="1"/>
  <c r="R924" i="1"/>
  <c r="V923" i="1"/>
  <c r="V923" i="1" a="1"/>
  <c r="U923" i="1"/>
  <c r="T923" i="1"/>
  <c r="T923" i="1" a="1"/>
  <c r="S923" i="1"/>
  <c r="R923" i="1"/>
  <c r="V922" i="1"/>
  <c r="V922" i="1" a="1"/>
  <c r="U922" i="1"/>
  <c r="T922" i="1"/>
  <c r="T922" i="1" a="1"/>
  <c r="S922" i="1"/>
  <c r="R922" i="1"/>
  <c r="V921" i="1"/>
  <c r="V921" i="1" a="1"/>
  <c r="U921" i="1"/>
  <c r="T921" i="1"/>
  <c r="T921" i="1" a="1"/>
  <c r="S921" i="1"/>
  <c r="R921" i="1"/>
  <c r="V920" i="1"/>
  <c r="V920" i="1" a="1"/>
  <c r="U920" i="1"/>
  <c r="T920" i="1"/>
  <c r="T920" i="1" a="1"/>
  <c r="S920" i="1"/>
  <c r="R920" i="1"/>
  <c r="V919" i="1"/>
  <c r="V919" i="1" a="1"/>
  <c r="U919" i="1"/>
  <c r="T919" i="1"/>
  <c r="T919" i="1" a="1"/>
  <c r="S919" i="1"/>
  <c r="R919" i="1"/>
  <c r="V918" i="1"/>
  <c r="V918" i="1" a="1"/>
  <c r="U918" i="1"/>
  <c r="T918" i="1"/>
  <c r="T918" i="1" a="1"/>
  <c r="S918" i="1"/>
  <c r="R918" i="1"/>
  <c r="V917" i="1"/>
  <c r="V917" i="1" a="1"/>
  <c r="U917" i="1"/>
  <c r="T917" i="1"/>
  <c r="T917" i="1" a="1"/>
  <c r="S917" i="1"/>
  <c r="R917" i="1"/>
  <c r="V916" i="1"/>
  <c r="V916" i="1" a="1"/>
  <c r="U916" i="1"/>
  <c r="T916" i="1"/>
  <c r="T916" i="1" a="1"/>
  <c r="S916" i="1"/>
  <c r="R916" i="1"/>
  <c r="V915" i="1"/>
  <c r="V915" i="1" a="1"/>
  <c r="U915" i="1"/>
  <c r="T915" i="1"/>
  <c r="T915" i="1" a="1"/>
  <c r="S915" i="1"/>
  <c r="R915" i="1"/>
  <c r="V914" i="1"/>
  <c r="V914" i="1" a="1"/>
  <c r="U914" i="1"/>
  <c r="T914" i="1"/>
  <c r="T914" i="1" a="1"/>
  <c r="S914" i="1"/>
  <c r="R914" i="1"/>
  <c r="V913" i="1"/>
  <c r="V913" i="1" a="1"/>
  <c r="U913" i="1"/>
  <c r="T913" i="1"/>
  <c r="T913" i="1" a="1"/>
  <c r="S913" i="1"/>
  <c r="R913" i="1"/>
  <c r="V912" i="1"/>
  <c r="V912" i="1" a="1"/>
  <c r="U912" i="1"/>
  <c r="T912" i="1"/>
  <c r="T912" i="1" a="1"/>
  <c r="S912" i="1"/>
  <c r="R912" i="1"/>
  <c r="V911" i="1"/>
  <c r="V911" i="1" a="1"/>
  <c r="U911" i="1"/>
  <c r="T911" i="1"/>
  <c r="T911" i="1" a="1"/>
  <c r="S911" i="1"/>
  <c r="R911" i="1"/>
  <c r="V910" i="1"/>
  <c r="V910" i="1" a="1"/>
  <c r="U910" i="1"/>
  <c r="T910" i="1"/>
  <c r="T910" i="1" a="1"/>
  <c r="S910" i="1"/>
  <c r="R910" i="1"/>
  <c r="V909" i="1"/>
  <c r="V909" i="1" a="1"/>
  <c r="U909" i="1"/>
  <c r="T909" i="1"/>
  <c r="T909" i="1" a="1"/>
  <c r="S909" i="1"/>
  <c r="R909" i="1"/>
  <c r="V908" i="1"/>
  <c r="V908" i="1" a="1"/>
  <c r="U908" i="1"/>
  <c r="T908" i="1"/>
  <c r="T908" i="1" a="1"/>
  <c r="S908" i="1"/>
  <c r="R908" i="1"/>
  <c r="V907" i="1"/>
  <c r="V907" i="1" a="1"/>
  <c r="U907" i="1"/>
  <c r="T907" i="1"/>
  <c r="T907" i="1" a="1"/>
  <c r="S907" i="1"/>
  <c r="R907" i="1"/>
  <c r="V906" i="1"/>
  <c r="V906" i="1" a="1"/>
  <c r="U906" i="1"/>
  <c r="T906" i="1"/>
  <c r="T906" i="1" a="1"/>
  <c r="S906" i="1"/>
  <c r="R906" i="1"/>
  <c r="V905" i="1"/>
  <c r="V905" i="1" a="1"/>
  <c r="U905" i="1"/>
  <c r="T905" i="1"/>
  <c r="T905" i="1" a="1"/>
  <c r="S905" i="1"/>
  <c r="R905" i="1"/>
  <c r="V904" i="1"/>
  <c r="V904" i="1" a="1"/>
  <c r="U904" i="1"/>
  <c r="T904" i="1"/>
  <c r="T904" i="1" a="1"/>
  <c r="S904" i="1"/>
  <c r="R904" i="1"/>
  <c r="V903" i="1"/>
  <c r="V903" i="1" a="1"/>
  <c r="U903" i="1"/>
  <c r="T903" i="1"/>
  <c r="T903" i="1" a="1"/>
  <c r="S903" i="1"/>
  <c r="R903" i="1"/>
  <c r="V902" i="1"/>
  <c r="V902" i="1" a="1"/>
  <c r="U902" i="1"/>
  <c r="T902" i="1"/>
  <c r="T902" i="1" a="1"/>
  <c r="S902" i="1"/>
  <c r="R902" i="1"/>
  <c r="V901" i="1"/>
  <c r="V901" i="1" a="1"/>
  <c r="U901" i="1"/>
  <c r="T901" i="1"/>
  <c r="T901" i="1" a="1"/>
  <c r="S901" i="1"/>
  <c r="R901" i="1"/>
  <c r="V900" i="1"/>
  <c r="V900" i="1" a="1"/>
  <c r="U900" i="1"/>
  <c r="T900" i="1"/>
  <c r="T900" i="1" a="1"/>
  <c r="S900" i="1"/>
  <c r="R900" i="1"/>
  <c r="V899" i="1"/>
  <c r="V899" i="1" a="1"/>
  <c r="U899" i="1"/>
  <c r="T899" i="1"/>
  <c r="T899" i="1" a="1"/>
  <c r="S899" i="1"/>
  <c r="R899" i="1"/>
  <c r="V898" i="1"/>
  <c r="V898" i="1" a="1"/>
  <c r="U898" i="1"/>
  <c r="T898" i="1"/>
  <c r="T898" i="1" a="1"/>
  <c r="S898" i="1"/>
  <c r="R898" i="1"/>
  <c r="V897" i="1"/>
  <c r="V897" i="1" a="1"/>
  <c r="U897" i="1"/>
  <c r="T897" i="1"/>
  <c r="T897" i="1" a="1"/>
  <c r="S897" i="1"/>
  <c r="R897" i="1"/>
  <c r="V896" i="1"/>
  <c r="V896" i="1" a="1"/>
  <c r="U896" i="1"/>
  <c r="T896" i="1"/>
  <c r="T896" i="1" a="1"/>
  <c r="S896" i="1"/>
  <c r="R896" i="1"/>
  <c r="V895" i="1"/>
  <c r="V895" i="1" a="1"/>
  <c r="U895" i="1"/>
  <c r="T895" i="1"/>
  <c r="T895" i="1" a="1"/>
  <c r="S895" i="1"/>
  <c r="R895" i="1"/>
  <c r="V894" i="1"/>
  <c r="V894" i="1" a="1"/>
  <c r="U894" i="1"/>
  <c r="T894" i="1"/>
  <c r="T894" i="1" a="1"/>
  <c r="S894" i="1"/>
  <c r="R894" i="1"/>
  <c r="V893" i="1"/>
  <c r="V893" i="1" a="1"/>
  <c r="U893" i="1"/>
  <c r="T893" i="1"/>
  <c r="T893" i="1" a="1"/>
  <c r="S893" i="1"/>
  <c r="R893" i="1"/>
  <c r="V892" i="1"/>
  <c r="V892" i="1" a="1"/>
  <c r="U892" i="1"/>
  <c r="T892" i="1"/>
  <c r="T892" i="1" a="1"/>
  <c r="S892" i="1"/>
  <c r="R892" i="1"/>
  <c r="V891" i="1"/>
  <c r="V891" i="1" a="1"/>
  <c r="U891" i="1"/>
  <c r="T891" i="1"/>
  <c r="T891" i="1" a="1"/>
  <c r="S891" i="1"/>
  <c r="R891" i="1"/>
  <c r="V890" i="1"/>
  <c r="V890" i="1" a="1"/>
  <c r="U890" i="1"/>
  <c r="T890" i="1"/>
  <c r="T890" i="1" a="1"/>
  <c r="S890" i="1"/>
  <c r="R890" i="1"/>
  <c r="V889" i="1"/>
  <c r="V889" i="1" a="1"/>
  <c r="U889" i="1"/>
  <c r="T889" i="1"/>
  <c r="T889" i="1" a="1"/>
  <c r="S889" i="1"/>
  <c r="R889" i="1"/>
  <c r="V888" i="1"/>
  <c r="V888" i="1" a="1"/>
  <c r="U888" i="1"/>
  <c r="T888" i="1"/>
  <c r="T888" i="1" a="1"/>
  <c r="S888" i="1"/>
  <c r="R888" i="1"/>
  <c r="V887" i="1"/>
  <c r="V887" i="1" a="1"/>
  <c r="U887" i="1"/>
  <c r="T887" i="1"/>
  <c r="T887" i="1" a="1"/>
  <c r="S887" i="1"/>
  <c r="R887" i="1"/>
  <c r="V886" i="1"/>
  <c r="V886" i="1" a="1"/>
  <c r="U886" i="1"/>
  <c r="T886" i="1"/>
  <c r="T886" i="1" a="1"/>
  <c r="S886" i="1"/>
  <c r="R886" i="1"/>
  <c r="V885" i="1"/>
  <c r="V885" i="1" a="1"/>
  <c r="U885" i="1"/>
  <c r="T885" i="1"/>
  <c r="T885" i="1" a="1"/>
  <c r="S885" i="1"/>
  <c r="R885" i="1"/>
  <c r="V884" i="1"/>
  <c r="V884" i="1" a="1"/>
  <c r="U884" i="1"/>
  <c r="T884" i="1"/>
  <c r="T884" i="1" a="1"/>
  <c r="S884" i="1"/>
  <c r="R884" i="1"/>
  <c r="V883" i="1"/>
  <c r="V883" i="1" a="1"/>
  <c r="U883" i="1"/>
  <c r="T883" i="1"/>
  <c r="T883" i="1" a="1"/>
  <c r="S883" i="1"/>
  <c r="R883" i="1"/>
  <c r="V882" i="1"/>
  <c r="V882" i="1" a="1"/>
  <c r="U882" i="1"/>
  <c r="T882" i="1"/>
  <c r="T882" i="1" a="1"/>
  <c r="S882" i="1"/>
  <c r="R882" i="1"/>
  <c r="V881" i="1"/>
  <c r="V881" i="1" a="1"/>
  <c r="U881" i="1"/>
  <c r="T881" i="1"/>
  <c r="T881" i="1" a="1"/>
  <c r="S881" i="1"/>
  <c r="R881" i="1"/>
  <c r="V880" i="1"/>
  <c r="V880" i="1" a="1"/>
  <c r="U880" i="1"/>
  <c r="T880" i="1"/>
  <c r="T880" i="1" a="1"/>
  <c r="S880" i="1"/>
  <c r="R880" i="1"/>
  <c r="V879" i="1"/>
  <c r="V879" i="1" a="1"/>
  <c r="U879" i="1"/>
  <c r="T879" i="1"/>
  <c r="T879" i="1" a="1"/>
  <c r="S879" i="1"/>
  <c r="R879" i="1"/>
  <c r="V878" i="1"/>
  <c r="V878" i="1" a="1"/>
  <c r="U878" i="1"/>
  <c r="T878" i="1"/>
  <c r="T878" i="1" a="1"/>
  <c r="S878" i="1"/>
  <c r="R878" i="1"/>
  <c r="V877" i="1"/>
  <c r="V877" i="1" a="1"/>
  <c r="U877" i="1"/>
  <c r="T877" i="1"/>
  <c r="T877" i="1" a="1"/>
  <c r="S877" i="1"/>
  <c r="R877" i="1"/>
  <c r="V876" i="1"/>
  <c r="V876" i="1" a="1"/>
  <c r="U876" i="1"/>
  <c r="T876" i="1"/>
  <c r="T876" i="1" a="1"/>
  <c r="S876" i="1"/>
  <c r="R876" i="1"/>
  <c r="V875" i="1"/>
  <c r="V875" i="1" a="1"/>
  <c r="U875" i="1"/>
  <c r="T875" i="1"/>
  <c r="T875" i="1" a="1"/>
  <c r="S875" i="1"/>
  <c r="R875" i="1"/>
  <c r="V874" i="1"/>
  <c r="V874" i="1" a="1"/>
  <c r="U874" i="1"/>
  <c r="T874" i="1"/>
  <c r="T874" i="1" a="1"/>
  <c r="S874" i="1"/>
  <c r="R874" i="1"/>
  <c r="V873" i="1"/>
  <c r="V873" i="1" a="1"/>
  <c r="U873" i="1"/>
  <c r="T873" i="1"/>
  <c r="T873" i="1" a="1"/>
  <c r="S873" i="1"/>
  <c r="R873" i="1"/>
  <c r="V872" i="1"/>
  <c r="V872" i="1" a="1"/>
  <c r="U872" i="1"/>
  <c r="T872" i="1"/>
  <c r="T872" i="1" a="1"/>
  <c r="S872" i="1"/>
  <c r="R872" i="1"/>
  <c r="V871" i="1"/>
  <c r="V871" i="1" a="1"/>
  <c r="U871" i="1"/>
  <c r="T871" i="1"/>
  <c r="T871" i="1" a="1"/>
  <c r="S871" i="1"/>
  <c r="R871" i="1"/>
  <c r="V870" i="1"/>
  <c r="V870" i="1" a="1"/>
  <c r="U870" i="1"/>
  <c r="T870" i="1"/>
  <c r="T870" i="1" a="1"/>
  <c r="S870" i="1"/>
  <c r="R870" i="1"/>
  <c r="V869" i="1"/>
  <c r="V869" i="1" a="1"/>
  <c r="U869" i="1"/>
  <c r="T869" i="1"/>
  <c r="T869" i="1" a="1"/>
  <c r="S869" i="1"/>
  <c r="R869" i="1"/>
  <c r="V868" i="1"/>
  <c r="V868" i="1" a="1"/>
  <c r="U868" i="1"/>
  <c r="T868" i="1"/>
  <c r="T868" i="1" a="1"/>
  <c r="S868" i="1"/>
  <c r="R868" i="1"/>
  <c r="V867" i="1"/>
  <c r="V867" i="1" a="1"/>
  <c r="U867" i="1"/>
  <c r="T867" i="1"/>
  <c r="T867" i="1" a="1"/>
  <c r="S867" i="1"/>
  <c r="R867" i="1"/>
  <c r="V866" i="1"/>
  <c r="V866" i="1" a="1"/>
  <c r="U866" i="1"/>
  <c r="T866" i="1"/>
  <c r="T866" i="1" a="1"/>
  <c r="S866" i="1"/>
  <c r="R866" i="1"/>
  <c r="V865" i="1"/>
  <c r="V865" i="1" a="1"/>
  <c r="U865" i="1"/>
  <c r="T865" i="1"/>
  <c r="T865" i="1" a="1"/>
  <c r="S865" i="1"/>
  <c r="R865" i="1"/>
  <c r="V864" i="1"/>
  <c r="V864" i="1" a="1"/>
  <c r="U864" i="1"/>
  <c r="T864" i="1"/>
  <c r="T864" i="1" a="1"/>
  <c r="S864" i="1"/>
  <c r="R864" i="1"/>
  <c r="V863" i="1"/>
  <c r="V863" i="1" a="1"/>
  <c r="U863" i="1"/>
  <c r="T863" i="1"/>
  <c r="T863" i="1" a="1"/>
  <c r="S863" i="1"/>
  <c r="R863" i="1"/>
  <c r="V862" i="1"/>
  <c r="V862" i="1" a="1"/>
  <c r="U862" i="1"/>
  <c r="T862" i="1"/>
  <c r="T862" i="1" a="1"/>
  <c r="S862" i="1"/>
  <c r="R862" i="1"/>
  <c r="V861" i="1"/>
  <c r="V861" i="1" a="1"/>
  <c r="U861" i="1"/>
  <c r="T861" i="1"/>
  <c r="T861" i="1" a="1"/>
  <c r="S861" i="1"/>
  <c r="R861" i="1"/>
  <c r="V860" i="1"/>
  <c r="V860" i="1" a="1"/>
  <c r="U860" i="1"/>
  <c r="T860" i="1"/>
  <c r="T860" i="1" a="1"/>
  <c r="S860" i="1"/>
  <c r="R860" i="1"/>
  <c r="V859" i="1"/>
  <c r="V859" i="1" a="1"/>
  <c r="U859" i="1"/>
  <c r="T859" i="1"/>
  <c r="T859" i="1" a="1"/>
  <c r="S859" i="1"/>
  <c r="R859" i="1"/>
  <c r="V858" i="1"/>
  <c r="V858" i="1" a="1"/>
  <c r="U858" i="1"/>
  <c r="T858" i="1"/>
  <c r="T858" i="1" a="1"/>
  <c r="S858" i="1"/>
  <c r="R858" i="1"/>
  <c r="V857" i="1"/>
  <c r="V857" i="1" a="1"/>
  <c r="U857" i="1"/>
  <c r="T857" i="1"/>
  <c r="T857" i="1" a="1"/>
  <c r="S857" i="1"/>
  <c r="R857" i="1"/>
  <c r="V856" i="1"/>
  <c r="V856" i="1" a="1"/>
  <c r="U856" i="1"/>
  <c r="T856" i="1"/>
  <c r="T856" i="1" a="1"/>
  <c r="S856" i="1"/>
  <c r="R856" i="1"/>
  <c r="V855" i="1"/>
  <c r="V855" i="1" a="1"/>
  <c r="U855" i="1"/>
  <c r="T855" i="1"/>
  <c r="T855" i="1" a="1"/>
  <c r="S855" i="1"/>
  <c r="R855" i="1"/>
  <c r="V854" i="1"/>
  <c r="V854" i="1" a="1"/>
  <c r="U854" i="1"/>
  <c r="T854" i="1"/>
  <c r="T854" i="1" a="1"/>
  <c r="S854" i="1"/>
  <c r="R854" i="1"/>
  <c r="V853" i="1"/>
  <c r="V853" i="1" a="1"/>
  <c r="U853" i="1"/>
  <c r="T853" i="1"/>
  <c r="T853" i="1" a="1"/>
  <c r="S853" i="1"/>
  <c r="R853" i="1"/>
  <c r="V852" i="1"/>
  <c r="V852" i="1" a="1"/>
  <c r="U852" i="1"/>
  <c r="T852" i="1"/>
  <c r="T852" i="1" a="1"/>
  <c r="S852" i="1"/>
  <c r="R852" i="1"/>
  <c r="V851" i="1"/>
  <c r="V851" i="1" a="1"/>
  <c r="U851" i="1"/>
  <c r="T851" i="1"/>
  <c r="T851" i="1" a="1"/>
  <c r="S851" i="1"/>
  <c r="R851" i="1"/>
  <c r="V850" i="1"/>
  <c r="V850" i="1" a="1"/>
  <c r="U850" i="1"/>
  <c r="T850" i="1"/>
  <c r="T850" i="1" a="1"/>
  <c r="S850" i="1"/>
  <c r="R850" i="1"/>
  <c r="V849" i="1"/>
  <c r="V849" i="1" a="1"/>
  <c r="U849" i="1"/>
  <c r="T849" i="1"/>
  <c r="T849" i="1" a="1"/>
  <c r="S849" i="1"/>
  <c r="R849" i="1"/>
  <c r="V848" i="1"/>
  <c r="V848" i="1" a="1"/>
  <c r="U848" i="1"/>
  <c r="T848" i="1"/>
  <c r="T848" i="1" a="1"/>
  <c r="S848" i="1"/>
  <c r="R848" i="1"/>
  <c r="V847" i="1"/>
  <c r="V847" i="1" a="1"/>
  <c r="U847" i="1"/>
  <c r="T847" i="1"/>
  <c r="T847" i="1" a="1"/>
  <c r="S847" i="1"/>
  <c r="R847" i="1"/>
  <c r="V846" i="1"/>
  <c r="V846" i="1" a="1"/>
  <c r="U846" i="1"/>
  <c r="T846" i="1"/>
  <c r="T846" i="1" a="1"/>
  <c r="S846" i="1"/>
  <c r="R846" i="1"/>
  <c r="V845" i="1"/>
  <c r="V845" i="1" a="1"/>
  <c r="U845" i="1"/>
  <c r="T845" i="1"/>
  <c r="T845" i="1" a="1"/>
  <c r="S845" i="1"/>
  <c r="R845" i="1"/>
  <c r="V844" i="1"/>
  <c r="V844" i="1" a="1"/>
  <c r="U844" i="1"/>
  <c r="T844" i="1"/>
  <c r="T844" i="1" a="1"/>
  <c r="S844" i="1"/>
  <c r="R844" i="1"/>
  <c r="V843" i="1"/>
  <c r="V843" i="1" a="1"/>
  <c r="U843" i="1"/>
  <c r="T843" i="1"/>
  <c r="T843" i="1" a="1"/>
  <c r="S843" i="1"/>
  <c r="R843" i="1"/>
  <c r="V842" i="1"/>
  <c r="V842" i="1" a="1"/>
  <c r="U842" i="1"/>
  <c r="T842" i="1"/>
  <c r="T842" i="1" a="1"/>
  <c r="S842" i="1"/>
  <c r="R842" i="1"/>
  <c r="V841" i="1"/>
  <c r="V841" i="1" a="1"/>
  <c r="U841" i="1"/>
  <c r="T841" i="1"/>
  <c r="T841" i="1" a="1"/>
  <c r="S841" i="1"/>
  <c r="R841" i="1"/>
  <c r="V840" i="1"/>
  <c r="V840" i="1" a="1"/>
  <c r="U840" i="1"/>
  <c r="T840" i="1"/>
  <c r="T840" i="1" a="1"/>
  <c r="S840" i="1"/>
  <c r="R840" i="1"/>
  <c r="V839" i="1"/>
  <c r="V839" i="1" a="1"/>
  <c r="U839" i="1"/>
  <c r="T839" i="1"/>
  <c r="T839" i="1" a="1"/>
  <c r="S839" i="1"/>
  <c r="R839" i="1"/>
  <c r="V838" i="1"/>
  <c r="V838" i="1" a="1"/>
  <c r="U838" i="1"/>
  <c r="T838" i="1"/>
  <c r="T838" i="1" a="1"/>
  <c r="S838" i="1"/>
  <c r="R838" i="1"/>
  <c r="V837" i="1"/>
  <c r="V837" i="1" a="1"/>
  <c r="U837" i="1"/>
  <c r="T837" i="1"/>
  <c r="T837" i="1" a="1"/>
  <c r="S837" i="1"/>
  <c r="R837" i="1"/>
  <c r="V836" i="1"/>
  <c r="V836" i="1" a="1"/>
  <c r="U836" i="1"/>
  <c r="T836" i="1"/>
  <c r="T836" i="1" a="1"/>
  <c r="S836" i="1"/>
  <c r="R836" i="1"/>
  <c r="V835" i="1"/>
  <c r="V835" i="1" a="1"/>
  <c r="U835" i="1"/>
  <c r="T835" i="1"/>
  <c r="T835" i="1" a="1"/>
  <c r="S835" i="1"/>
  <c r="R835" i="1"/>
  <c r="V834" i="1"/>
  <c r="V834" i="1" a="1"/>
  <c r="U834" i="1"/>
  <c r="T834" i="1"/>
  <c r="T834" i="1" a="1"/>
  <c r="S834" i="1"/>
  <c r="R834" i="1"/>
  <c r="V833" i="1"/>
  <c r="V833" i="1" a="1"/>
  <c r="U833" i="1"/>
  <c r="T833" i="1"/>
  <c r="T833" i="1" a="1"/>
  <c r="S833" i="1"/>
  <c r="R833" i="1"/>
  <c r="V832" i="1"/>
  <c r="V832" i="1" a="1"/>
  <c r="U832" i="1"/>
  <c r="T832" i="1"/>
  <c r="T832" i="1" a="1"/>
  <c r="S832" i="1"/>
  <c r="R832" i="1"/>
  <c r="V831" i="1"/>
  <c r="V831" i="1" a="1"/>
  <c r="U831" i="1"/>
  <c r="T831" i="1"/>
  <c r="T831" i="1" a="1"/>
  <c r="S831" i="1"/>
  <c r="R831" i="1"/>
  <c r="V830" i="1"/>
  <c r="V830" i="1" a="1"/>
  <c r="U830" i="1"/>
  <c r="T830" i="1"/>
  <c r="T830" i="1" a="1"/>
  <c r="S830" i="1"/>
  <c r="R830" i="1"/>
  <c r="V829" i="1"/>
  <c r="V829" i="1" a="1"/>
  <c r="U829" i="1"/>
  <c r="T829" i="1"/>
  <c r="T829" i="1" a="1"/>
  <c r="S829" i="1"/>
  <c r="R829" i="1"/>
  <c r="V828" i="1"/>
  <c r="V828" i="1" a="1"/>
  <c r="U828" i="1"/>
  <c r="T828" i="1"/>
  <c r="T828" i="1" a="1"/>
  <c r="S828" i="1"/>
  <c r="R828" i="1"/>
  <c r="V827" i="1"/>
  <c r="V827" i="1" a="1"/>
  <c r="U827" i="1"/>
  <c r="T827" i="1"/>
  <c r="T827" i="1" a="1"/>
  <c r="S827" i="1"/>
  <c r="R827" i="1"/>
  <c r="V826" i="1"/>
  <c r="V826" i="1" a="1"/>
  <c r="U826" i="1"/>
  <c r="T826" i="1"/>
  <c r="T826" i="1" a="1"/>
  <c r="S826" i="1"/>
  <c r="R826" i="1"/>
  <c r="V825" i="1"/>
  <c r="V825" i="1" a="1"/>
  <c r="U825" i="1"/>
  <c r="T825" i="1"/>
  <c r="T825" i="1" a="1"/>
  <c r="S825" i="1"/>
  <c r="R825" i="1"/>
  <c r="V824" i="1"/>
  <c r="V824" i="1" a="1"/>
  <c r="U824" i="1"/>
  <c r="T824" i="1"/>
  <c r="T824" i="1" a="1"/>
  <c r="S824" i="1"/>
  <c r="R824" i="1"/>
  <c r="V823" i="1"/>
  <c r="V823" i="1" a="1"/>
  <c r="U823" i="1"/>
  <c r="T823" i="1"/>
  <c r="T823" i="1" a="1"/>
  <c r="S823" i="1"/>
  <c r="R823" i="1"/>
  <c r="V822" i="1"/>
  <c r="V822" i="1" a="1"/>
  <c r="U822" i="1"/>
  <c r="T822" i="1"/>
  <c r="T822" i="1" a="1"/>
  <c r="S822" i="1"/>
  <c r="R822" i="1"/>
  <c r="V821" i="1"/>
  <c r="V821" i="1" a="1"/>
  <c r="U821" i="1"/>
  <c r="T821" i="1"/>
  <c r="T821" i="1" a="1"/>
  <c r="S821" i="1"/>
  <c r="R821" i="1"/>
  <c r="V820" i="1"/>
  <c r="V820" i="1" a="1"/>
  <c r="U820" i="1"/>
  <c r="T820" i="1"/>
  <c r="T820" i="1" a="1"/>
  <c r="S820" i="1"/>
  <c r="R820" i="1"/>
  <c r="V819" i="1"/>
  <c r="V819" i="1" a="1"/>
  <c r="U819" i="1"/>
  <c r="T819" i="1"/>
  <c r="T819" i="1" a="1"/>
  <c r="S819" i="1"/>
  <c r="R819" i="1"/>
  <c r="V818" i="1"/>
  <c r="V818" i="1" a="1"/>
  <c r="U818" i="1"/>
  <c r="T818" i="1"/>
  <c r="T818" i="1" a="1"/>
  <c r="S818" i="1"/>
  <c r="R818" i="1"/>
  <c r="V817" i="1"/>
  <c r="V817" i="1" a="1"/>
  <c r="U817" i="1"/>
  <c r="T817" i="1"/>
  <c r="T817" i="1" a="1"/>
  <c r="S817" i="1"/>
  <c r="R817" i="1"/>
  <c r="V816" i="1"/>
  <c r="V816" i="1" a="1"/>
  <c r="U816" i="1"/>
  <c r="T816" i="1"/>
  <c r="T816" i="1" a="1"/>
  <c r="S816" i="1"/>
  <c r="R816" i="1"/>
  <c r="V815" i="1"/>
  <c r="V815" i="1" a="1"/>
  <c r="U815" i="1"/>
  <c r="T815" i="1"/>
  <c r="T815" i="1" a="1"/>
  <c r="S815" i="1"/>
  <c r="R815" i="1"/>
  <c r="V814" i="1"/>
  <c r="V814" i="1" a="1"/>
  <c r="U814" i="1"/>
  <c r="T814" i="1"/>
  <c r="T814" i="1" a="1"/>
  <c r="S814" i="1"/>
  <c r="R814" i="1"/>
  <c r="V813" i="1"/>
  <c r="V813" i="1" a="1"/>
  <c r="U813" i="1"/>
  <c r="T813" i="1"/>
  <c r="T813" i="1" a="1"/>
  <c r="S813" i="1"/>
  <c r="R813" i="1"/>
  <c r="V812" i="1"/>
  <c r="V812" i="1" a="1"/>
  <c r="U812" i="1"/>
  <c r="T812" i="1"/>
  <c r="T812" i="1" a="1"/>
  <c r="S812" i="1"/>
  <c r="R812" i="1"/>
  <c r="V811" i="1"/>
  <c r="V811" i="1" a="1"/>
  <c r="U811" i="1"/>
  <c r="T811" i="1"/>
  <c r="T811" i="1" a="1"/>
  <c r="S811" i="1"/>
  <c r="R811" i="1"/>
  <c r="V810" i="1"/>
  <c r="V810" i="1" a="1"/>
  <c r="U810" i="1"/>
  <c r="T810" i="1"/>
  <c r="T810" i="1" a="1"/>
  <c r="S810" i="1"/>
  <c r="R810" i="1"/>
  <c r="V809" i="1"/>
  <c r="V809" i="1" a="1"/>
  <c r="U809" i="1"/>
  <c r="T809" i="1"/>
  <c r="T809" i="1" a="1"/>
  <c r="S809" i="1"/>
  <c r="R809" i="1"/>
  <c r="V808" i="1"/>
  <c r="V808" i="1" a="1"/>
  <c r="U808" i="1"/>
  <c r="T808" i="1"/>
  <c r="T808" i="1" a="1"/>
  <c r="S808" i="1"/>
  <c r="R808" i="1"/>
  <c r="V807" i="1"/>
  <c r="V807" i="1" a="1"/>
  <c r="U807" i="1"/>
  <c r="T807" i="1"/>
  <c r="T807" i="1" a="1"/>
  <c r="S807" i="1"/>
  <c r="R807" i="1"/>
  <c r="V806" i="1"/>
  <c r="V806" i="1" a="1"/>
  <c r="U806" i="1"/>
  <c r="T806" i="1"/>
  <c r="T806" i="1" a="1"/>
  <c r="S806" i="1"/>
  <c r="R806" i="1"/>
  <c r="V805" i="1"/>
  <c r="V805" i="1" a="1"/>
  <c r="U805" i="1"/>
  <c r="T805" i="1"/>
  <c r="T805" i="1" a="1"/>
  <c r="S805" i="1"/>
  <c r="R805" i="1"/>
  <c r="V804" i="1"/>
  <c r="V804" i="1" a="1"/>
  <c r="U804" i="1"/>
  <c r="T804" i="1"/>
  <c r="T804" i="1" a="1"/>
  <c r="S804" i="1"/>
  <c r="R804" i="1"/>
  <c r="V803" i="1"/>
  <c r="V803" i="1" a="1"/>
  <c r="U803" i="1"/>
  <c r="T803" i="1"/>
  <c r="T803" i="1" a="1"/>
  <c r="S803" i="1"/>
  <c r="R803" i="1"/>
  <c r="V802" i="1"/>
  <c r="V802" i="1" a="1"/>
  <c r="U802" i="1"/>
  <c r="T802" i="1"/>
  <c r="T802" i="1" a="1"/>
  <c r="S802" i="1"/>
  <c r="R802" i="1"/>
  <c r="V801" i="1"/>
  <c r="V801" i="1" a="1"/>
  <c r="U801" i="1"/>
  <c r="T801" i="1"/>
  <c r="T801" i="1" a="1"/>
  <c r="S801" i="1"/>
  <c r="R801" i="1"/>
  <c r="V800" i="1"/>
  <c r="V800" i="1" a="1"/>
  <c r="U800" i="1"/>
  <c r="T800" i="1"/>
  <c r="T800" i="1" a="1"/>
  <c r="S800" i="1"/>
  <c r="R800" i="1"/>
  <c r="V799" i="1"/>
  <c r="V799" i="1" a="1"/>
  <c r="U799" i="1"/>
  <c r="T799" i="1"/>
  <c r="T799" i="1" a="1"/>
  <c r="S799" i="1"/>
  <c r="R799" i="1"/>
  <c r="V798" i="1"/>
  <c r="V798" i="1" a="1"/>
  <c r="U798" i="1"/>
  <c r="T798" i="1"/>
  <c r="T798" i="1" a="1"/>
  <c r="S798" i="1"/>
  <c r="R798" i="1"/>
  <c r="V797" i="1"/>
  <c r="V797" i="1" a="1"/>
  <c r="U797" i="1"/>
  <c r="T797" i="1"/>
  <c r="T797" i="1" a="1"/>
  <c r="S797" i="1"/>
  <c r="R797" i="1"/>
  <c r="V796" i="1"/>
  <c r="V796" i="1" a="1"/>
  <c r="U796" i="1"/>
  <c r="T796" i="1"/>
  <c r="T796" i="1" a="1"/>
  <c r="S796" i="1"/>
  <c r="R796" i="1"/>
  <c r="V795" i="1"/>
  <c r="V795" i="1" a="1"/>
  <c r="U795" i="1"/>
  <c r="T795" i="1"/>
  <c r="T795" i="1" a="1"/>
  <c r="S795" i="1"/>
  <c r="R795" i="1"/>
  <c r="V794" i="1"/>
  <c r="V794" i="1" a="1"/>
  <c r="U794" i="1"/>
  <c r="T794" i="1"/>
  <c r="T794" i="1" a="1"/>
  <c r="S794" i="1"/>
  <c r="R794" i="1"/>
  <c r="V793" i="1"/>
  <c r="V793" i="1" a="1"/>
  <c r="U793" i="1"/>
  <c r="T793" i="1"/>
  <c r="T793" i="1" a="1"/>
  <c r="S793" i="1"/>
  <c r="R793" i="1"/>
  <c r="V792" i="1"/>
  <c r="V792" i="1" a="1"/>
  <c r="U792" i="1"/>
  <c r="T792" i="1"/>
  <c r="T792" i="1" a="1"/>
  <c r="S792" i="1"/>
  <c r="R792" i="1"/>
  <c r="V791" i="1"/>
  <c r="V791" i="1" a="1"/>
  <c r="U791" i="1"/>
  <c r="T791" i="1"/>
  <c r="T791" i="1" a="1"/>
  <c r="S791" i="1"/>
  <c r="R791" i="1"/>
  <c r="V790" i="1"/>
  <c r="V790" i="1" a="1"/>
  <c r="U790" i="1"/>
  <c r="T790" i="1"/>
  <c r="T790" i="1" a="1"/>
  <c r="S790" i="1"/>
  <c r="R790" i="1"/>
  <c r="V789" i="1"/>
  <c r="V789" i="1" a="1"/>
  <c r="U789" i="1"/>
  <c r="T789" i="1"/>
  <c r="T789" i="1" a="1"/>
  <c r="S789" i="1"/>
  <c r="R789" i="1"/>
  <c r="V788" i="1"/>
  <c r="V788" i="1" a="1"/>
  <c r="U788" i="1"/>
  <c r="T788" i="1"/>
  <c r="T788" i="1" a="1"/>
  <c r="S788" i="1"/>
  <c r="R788" i="1"/>
  <c r="V787" i="1"/>
  <c r="V787" i="1" a="1"/>
  <c r="U787" i="1"/>
  <c r="T787" i="1"/>
  <c r="T787" i="1" a="1"/>
  <c r="S787" i="1"/>
  <c r="R787" i="1"/>
  <c r="V786" i="1"/>
  <c r="V786" i="1" a="1"/>
  <c r="U786" i="1"/>
  <c r="T786" i="1"/>
  <c r="T786" i="1" a="1"/>
  <c r="S786" i="1"/>
  <c r="R786" i="1"/>
  <c r="V785" i="1"/>
  <c r="V785" i="1" a="1"/>
  <c r="U785" i="1"/>
  <c r="T785" i="1"/>
  <c r="T785" i="1" a="1"/>
  <c r="S785" i="1"/>
  <c r="R785" i="1"/>
  <c r="V784" i="1"/>
  <c r="V784" i="1" a="1"/>
  <c r="U784" i="1"/>
  <c r="T784" i="1"/>
  <c r="T784" i="1" a="1"/>
  <c r="S784" i="1"/>
  <c r="R784" i="1"/>
  <c r="V783" i="1"/>
  <c r="V783" i="1" a="1"/>
  <c r="U783" i="1"/>
  <c r="T783" i="1"/>
  <c r="T783" i="1" a="1"/>
  <c r="S783" i="1"/>
  <c r="R783" i="1"/>
  <c r="V782" i="1"/>
  <c r="V782" i="1" a="1"/>
  <c r="U782" i="1"/>
  <c r="T782" i="1"/>
  <c r="T782" i="1" a="1"/>
  <c r="S782" i="1"/>
  <c r="R782" i="1"/>
  <c r="V781" i="1"/>
  <c r="V781" i="1" a="1"/>
  <c r="U781" i="1"/>
  <c r="T781" i="1"/>
  <c r="T781" i="1" a="1"/>
  <c r="S781" i="1"/>
  <c r="R781" i="1"/>
  <c r="V780" i="1"/>
  <c r="V780" i="1" a="1"/>
  <c r="U780" i="1"/>
  <c r="T780" i="1"/>
  <c r="T780" i="1" a="1"/>
  <c r="S780" i="1"/>
  <c r="R780" i="1"/>
  <c r="V779" i="1"/>
  <c r="V779" i="1" a="1"/>
  <c r="U779" i="1"/>
  <c r="T779" i="1"/>
  <c r="T779" i="1" a="1"/>
  <c r="S779" i="1"/>
  <c r="R779" i="1"/>
  <c r="V778" i="1"/>
  <c r="V778" i="1" a="1"/>
  <c r="U778" i="1"/>
  <c r="T778" i="1"/>
  <c r="T778" i="1" a="1"/>
  <c r="S778" i="1"/>
  <c r="R778" i="1"/>
  <c r="V777" i="1"/>
  <c r="V777" i="1" a="1"/>
  <c r="U777" i="1"/>
  <c r="T777" i="1"/>
  <c r="T777" i="1" a="1"/>
  <c r="S777" i="1"/>
  <c r="R777" i="1"/>
  <c r="V776" i="1"/>
  <c r="V776" i="1" a="1"/>
  <c r="U776" i="1"/>
  <c r="T776" i="1"/>
  <c r="T776" i="1" a="1"/>
  <c r="S776" i="1"/>
  <c r="R776" i="1"/>
  <c r="V775" i="1"/>
  <c r="V775" i="1" a="1"/>
  <c r="U775" i="1"/>
  <c r="T775" i="1"/>
  <c r="T775" i="1" a="1"/>
  <c r="S775" i="1"/>
  <c r="R775" i="1"/>
  <c r="V774" i="1"/>
  <c r="V774" i="1" a="1"/>
  <c r="U774" i="1"/>
  <c r="T774" i="1"/>
  <c r="T774" i="1" a="1"/>
  <c r="S774" i="1"/>
  <c r="R774" i="1"/>
  <c r="V773" i="1"/>
  <c r="V773" i="1" a="1"/>
  <c r="U773" i="1"/>
  <c r="T773" i="1"/>
  <c r="T773" i="1" a="1"/>
  <c r="S773" i="1"/>
  <c r="R773" i="1"/>
  <c r="V772" i="1"/>
  <c r="V772" i="1" a="1"/>
  <c r="U772" i="1"/>
  <c r="T772" i="1"/>
  <c r="T772" i="1" a="1"/>
  <c r="S772" i="1"/>
  <c r="R772" i="1"/>
  <c r="V771" i="1"/>
  <c r="V771" i="1" a="1"/>
  <c r="U771" i="1"/>
  <c r="T771" i="1"/>
  <c r="T771" i="1" a="1"/>
  <c r="S771" i="1"/>
  <c r="R771" i="1"/>
  <c r="V770" i="1"/>
  <c r="V770" i="1" a="1"/>
  <c r="U770" i="1"/>
  <c r="T770" i="1"/>
  <c r="T770" i="1" a="1"/>
  <c r="S770" i="1"/>
  <c r="R770" i="1"/>
  <c r="V769" i="1"/>
  <c r="V769" i="1" a="1"/>
  <c r="U769" i="1"/>
  <c r="T769" i="1"/>
  <c r="T769" i="1" a="1"/>
  <c r="S769" i="1"/>
  <c r="R769" i="1"/>
  <c r="V768" i="1"/>
  <c r="V768" i="1" a="1"/>
  <c r="U768" i="1"/>
  <c r="T768" i="1"/>
  <c r="T768" i="1" a="1"/>
  <c r="S768" i="1"/>
  <c r="R768" i="1"/>
  <c r="V767" i="1"/>
  <c r="V767" i="1" a="1"/>
  <c r="U767" i="1"/>
  <c r="T767" i="1"/>
  <c r="T767" i="1" a="1"/>
  <c r="S767" i="1"/>
  <c r="R767" i="1"/>
  <c r="V766" i="1"/>
  <c r="V766" i="1" a="1"/>
  <c r="U766" i="1"/>
  <c r="T766" i="1"/>
  <c r="T766" i="1" a="1"/>
  <c r="S766" i="1"/>
  <c r="R766" i="1"/>
  <c r="V765" i="1"/>
  <c r="V765" i="1" a="1"/>
  <c r="U765" i="1"/>
  <c r="T765" i="1"/>
  <c r="T765" i="1" a="1"/>
  <c r="S765" i="1"/>
  <c r="R765" i="1"/>
  <c r="V764" i="1"/>
  <c r="V764" i="1" a="1"/>
  <c r="U764" i="1"/>
  <c r="T764" i="1"/>
  <c r="T764" i="1" a="1"/>
  <c r="S764" i="1"/>
  <c r="R764" i="1"/>
  <c r="V763" i="1"/>
  <c r="V763" i="1" a="1"/>
  <c r="U763" i="1"/>
  <c r="T763" i="1"/>
  <c r="T763" i="1" a="1"/>
  <c r="S763" i="1"/>
  <c r="R763" i="1"/>
  <c r="V762" i="1"/>
  <c r="V762" i="1" a="1"/>
  <c r="U762" i="1"/>
  <c r="T762" i="1"/>
  <c r="T762" i="1" a="1"/>
  <c r="S762" i="1"/>
  <c r="R762" i="1"/>
  <c r="V761" i="1"/>
  <c r="V761" i="1" a="1"/>
  <c r="U761" i="1"/>
  <c r="T761" i="1"/>
  <c r="T761" i="1" a="1"/>
  <c r="S761" i="1"/>
  <c r="R761" i="1"/>
  <c r="V760" i="1"/>
  <c r="V760" i="1" a="1"/>
  <c r="U760" i="1"/>
  <c r="T760" i="1"/>
  <c r="T760" i="1" a="1"/>
  <c r="S760" i="1"/>
  <c r="R760" i="1"/>
  <c r="V759" i="1"/>
  <c r="V759" i="1" a="1"/>
  <c r="U759" i="1"/>
  <c r="T759" i="1"/>
  <c r="T759" i="1" a="1"/>
  <c r="S759" i="1"/>
  <c r="R759" i="1"/>
  <c r="V758" i="1"/>
  <c r="V758" i="1" a="1"/>
  <c r="U758" i="1"/>
  <c r="T758" i="1"/>
  <c r="T758" i="1" a="1"/>
  <c r="S758" i="1"/>
  <c r="R758" i="1"/>
  <c r="V757" i="1"/>
  <c r="V757" i="1" a="1"/>
  <c r="U757" i="1"/>
  <c r="T757" i="1"/>
  <c r="T757" i="1" a="1"/>
  <c r="S757" i="1"/>
  <c r="R757" i="1"/>
  <c r="V756" i="1"/>
  <c r="V756" i="1" a="1"/>
  <c r="U756" i="1"/>
  <c r="T756" i="1"/>
  <c r="T756" i="1" a="1"/>
  <c r="S756" i="1"/>
  <c r="R756" i="1"/>
  <c r="V755" i="1"/>
  <c r="V755" i="1" a="1"/>
  <c r="U755" i="1"/>
  <c r="T755" i="1"/>
  <c r="T755" i="1" a="1"/>
  <c r="S755" i="1"/>
  <c r="R755" i="1"/>
  <c r="V754" i="1"/>
  <c r="V754" i="1" a="1"/>
  <c r="U754" i="1"/>
  <c r="T754" i="1"/>
  <c r="T754" i="1" a="1"/>
  <c r="S754" i="1"/>
  <c r="R754" i="1"/>
  <c r="V753" i="1"/>
  <c r="V753" i="1" a="1"/>
  <c r="U753" i="1"/>
  <c r="T753" i="1"/>
  <c r="T753" i="1" a="1"/>
  <c r="S753" i="1"/>
  <c r="R753" i="1"/>
  <c r="V752" i="1"/>
  <c r="V752" i="1" a="1"/>
  <c r="U752" i="1"/>
  <c r="T752" i="1"/>
  <c r="T752" i="1" a="1"/>
  <c r="S752" i="1"/>
  <c r="R752" i="1"/>
  <c r="V751" i="1"/>
  <c r="V751" i="1" a="1"/>
  <c r="U751" i="1"/>
  <c r="T751" i="1"/>
  <c r="T751" i="1" a="1"/>
  <c r="S751" i="1"/>
  <c r="R751" i="1"/>
  <c r="V750" i="1"/>
  <c r="V750" i="1" a="1"/>
  <c r="U750" i="1"/>
  <c r="T750" i="1"/>
  <c r="T750" i="1" a="1"/>
  <c r="S750" i="1"/>
  <c r="R750" i="1"/>
  <c r="V749" i="1"/>
  <c r="V749" i="1" a="1"/>
  <c r="U749" i="1"/>
  <c r="T749" i="1"/>
  <c r="T749" i="1" a="1"/>
  <c r="S749" i="1"/>
  <c r="R749" i="1"/>
  <c r="V748" i="1"/>
  <c r="V748" i="1" a="1"/>
  <c r="U748" i="1"/>
  <c r="T748" i="1"/>
  <c r="T748" i="1" a="1"/>
  <c r="S748" i="1"/>
  <c r="R748" i="1"/>
  <c r="V747" i="1"/>
  <c r="V747" i="1" a="1"/>
  <c r="U747" i="1"/>
  <c r="T747" i="1"/>
  <c r="T747" i="1" a="1"/>
  <c r="S747" i="1"/>
  <c r="R747" i="1"/>
  <c r="V746" i="1"/>
  <c r="V746" i="1" a="1"/>
  <c r="U746" i="1"/>
  <c r="T746" i="1"/>
  <c r="T746" i="1" a="1"/>
  <c r="S746" i="1"/>
  <c r="R746" i="1"/>
  <c r="V745" i="1"/>
  <c r="V745" i="1" a="1"/>
  <c r="U745" i="1"/>
  <c r="T745" i="1"/>
  <c r="T745" i="1" a="1"/>
  <c r="S745" i="1"/>
  <c r="R745" i="1"/>
  <c r="V744" i="1"/>
  <c r="V744" i="1" a="1"/>
  <c r="U744" i="1"/>
  <c r="T744" i="1"/>
  <c r="T744" i="1" a="1"/>
  <c r="S744" i="1"/>
  <c r="R744" i="1"/>
  <c r="V743" i="1"/>
  <c r="V743" i="1" a="1"/>
  <c r="U743" i="1"/>
  <c r="T743" i="1"/>
  <c r="T743" i="1" a="1"/>
  <c r="S743" i="1"/>
  <c r="R743" i="1"/>
  <c r="V742" i="1"/>
  <c r="V742" i="1" a="1"/>
  <c r="U742" i="1"/>
  <c r="T742" i="1"/>
  <c r="T742" i="1" a="1"/>
  <c r="S742" i="1"/>
  <c r="R742" i="1"/>
  <c r="V741" i="1"/>
  <c r="V741" i="1" a="1"/>
  <c r="U741" i="1"/>
  <c r="T741" i="1"/>
  <c r="T741" i="1" a="1"/>
  <c r="S741" i="1"/>
  <c r="R741" i="1"/>
  <c r="V740" i="1"/>
  <c r="V740" i="1" a="1"/>
  <c r="U740" i="1"/>
  <c r="T740" i="1"/>
  <c r="T740" i="1" a="1"/>
  <c r="S740" i="1"/>
  <c r="R740" i="1"/>
  <c r="V739" i="1"/>
  <c r="V739" i="1" a="1"/>
  <c r="U739" i="1"/>
  <c r="T739" i="1"/>
  <c r="T739" i="1" a="1"/>
  <c r="S739" i="1"/>
  <c r="R739" i="1"/>
  <c r="V738" i="1"/>
  <c r="V738" i="1" a="1"/>
  <c r="U738" i="1"/>
  <c r="T738" i="1"/>
  <c r="T738" i="1" a="1"/>
  <c r="S738" i="1"/>
  <c r="R738" i="1"/>
  <c r="V737" i="1"/>
  <c r="V737" i="1" a="1"/>
  <c r="U737" i="1"/>
  <c r="T737" i="1"/>
  <c r="T737" i="1" a="1"/>
  <c r="S737" i="1"/>
  <c r="R737" i="1"/>
  <c r="V736" i="1"/>
  <c r="V736" i="1" a="1"/>
  <c r="U736" i="1"/>
  <c r="T736" i="1"/>
  <c r="T736" i="1" a="1"/>
  <c r="S736" i="1"/>
  <c r="R736" i="1"/>
  <c r="V735" i="1"/>
  <c r="V735" i="1" a="1"/>
  <c r="U735" i="1"/>
  <c r="T735" i="1"/>
  <c r="T735" i="1" a="1"/>
  <c r="S735" i="1"/>
  <c r="R735" i="1"/>
  <c r="V734" i="1"/>
  <c r="V734" i="1" a="1"/>
  <c r="U734" i="1"/>
  <c r="T734" i="1"/>
  <c r="T734" i="1" a="1"/>
  <c r="S734" i="1"/>
  <c r="R734" i="1"/>
  <c r="V733" i="1"/>
  <c r="V733" i="1" a="1"/>
  <c r="U733" i="1"/>
  <c r="T733" i="1"/>
  <c r="T733" i="1" a="1"/>
  <c r="S733" i="1"/>
  <c r="R733" i="1"/>
  <c r="V732" i="1"/>
  <c r="V732" i="1" a="1"/>
  <c r="U732" i="1"/>
  <c r="T732" i="1"/>
  <c r="T732" i="1" a="1"/>
  <c r="S732" i="1"/>
  <c r="R732" i="1"/>
  <c r="V731" i="1"/>
  <c r="V731" i="1" a="1"/>
  <c r="U731" i="1"/>
  <c r="T731" i="1"/>
  <c r="T731" i="1" a="1"/>
  <c r="S731" i="1"/>
  <c r="R731" i="1"/>
  <c r="V730" i="1"/>
  <c r="V730" i="1" a="1"/>
  <c r="U730" i="1"/>
  <c r="T730" i="1"/>
  <c r="T730" i="1" a="1"/>
  <c r="S730" i="1"/>
  <c r="R730" i="1"/>
  <c r="V729" i="1"/>
  <c r="V729" i="1" a="1"/>
  <c r="U729" i="1"/>
  <c r="T729" i="1"/>
  <c r="T729" i="1" a="1"/>
  <c r="S729" i="1"/>
  <c r="R729" i="1"/>
  <c r="V728" i="1"/>
  <c r="V728" i="1" a="1"/>
  <c r="U728" i="1"/>
  <c r="T728" i="1"/>
  <c r="T728" i="1" a="1"/>
  <c r="S728" i="1"/>
  <c r="R728" i="1"/>
  <c r="V727" i="1"/>
  <c r="V727" i="1" a="1"/>
  <c r="U727" i="1"/>
  <c r="T727" i="1"/>
  <c r="T727" i="1" a="1"/>
  <c r="S727" i="1"/>
  <c r="R727" i="1"/>
  <c r="V726" i="1"/>
  <c r="V726" i="1" a="1"/>
  <c r="U726" i="1"/>
  <c r="T726" i="1"/>
  <c r="T726" i="1" a="1"/>
  <c r="S726" i="1"/>
  <c r="R726" i="1"/>
  <c r="V725" i="1"/>
  <c r="V725" i="1" a="1"/>
  <c r="U725" i="1"/>
  <c r="T725" i="1"/>
  <c r="T725" i="1" a="1"/>
  <c r="S725" i="1"/>
  <c r="R725" i="1"/>
  <c r="V724" i="1"/>
  <c r="V724" i="1" a="1"/>
  <c r="U724" i="1"/>
  <c r="T724" i="1"/>
  <c r="T724" i="1" a="1"/>
  <c r="S724" i="1"/>
  <c r="R724" i="1"/>
  <c r="V723" i="1"/>
  <c r="V723" i="1" a="1"/>
  <c r="U723" i="1"/>
  <c r="T723" i="1"/>
  <c r="T723" i="1" a="1"/>
  <c r="S723" i="1"/>
  <c r="R723" i="1"/>
  <c r="V722" i="1"/>
  <c r="V722" i="1" a="1"/>
  <c r="U722" i="1"/>
  <c r="T722" i="1"/>
  <c r="T722" i="1" a="1"/>
  <c r="S722" i="1"/>
  <c r="R722" i="1"/>
  <c r="V721" i="1"/>
  <c r="V721" i="1" a="1"/>
  <c r="U721" i="1"/>
  <c r="T721" i="1"/>
  <c r="T721" i="1" a="1"/>
  <c r="S721" i="1"/>
  <c r="R721" i="1"/>
  <c r="V720" i="1"/>
  <c r="V720" i="1" a="1"/>
  <c r="U720" i="1"/>
  <c r="T720" i="1"/>
  <c r="T720" i="1" a="1"/>
  <c r="S720" i="1"/>
  <c r="R720" i="1"/>
  <c r="V719" i="1"/>
  <c r="V719" i="1" a="1"/>
  <c r="U719" i="1"/>
  <c r="T719" i="1"/>
  <c r="T719" i="1" a="1"/>
  <c r="S719" i="1"/>
  <c r="R719" i="1"/>
  <c r="V718" i="1"/>
  <c r="V718" i="1" a="1"/>
  <c r="U718" i="1"/>
  <c r="T718" i="1"/>
  <c r="T718" i="1" a="1"/>
  <c r="S718" i="1"/>
  <c r="R718" i="1"/>
  <c r="V717" i="1"/>
  <c r="V717" i="1" a="1"/>
  <c r="U717" i="1"/>
  <c r="T717" i="1"/>
  <c r="T717" i="1" a="1"/>
  <c r="S717" i="1"/>
  <c r="R717" i="1"/>
  <c r="V716" i="1"/>
  <c r="V716" i="1" a="1"/>
  <c r="U716" i="1"/>
  <c r="T716" i="1"/>
  <c r="T716" i="1" a="1"/>
  <c r="S716" i="1"/>
  <c r="R716" i="1"/>
  <c r="V715" i="1"/>
  <c r="V715" i="1" a="1"/>
  <c r="U715" i="1"/>
  <c r="T715" i="1"/>
  <c r="T715" i="1" a="1"/>
  <c r="S715" i="1"/>
  <c r="R715" i="1"/>
  <c r="V714" i="1"/>
  <c r="V714" i="1" a="1"/>
  <c r="U714" i="1"/>
  <c r="T714" i="1"/>
  <c r="T714" i="1" a="1"/>
  <c r="S714" i="1"/>
  <c r="R714" i="1"/>
  <c r="V713" i="1"/>
  <c r="V713" i="1" a="1"/>
  <c r="U713" i="1"/>
  <c r="T713" i="1"/>
  <c r="T713" i="1" a="1"/>
  <c r="S713" i="1"/>
  <c r="R713" i="1"/>
  <c r="V712" i="1"/>
  <c r="V712" i="1" a="1"/>
  <c r="U712" i="1"/>
  <c r="T712" i="1"/>
  <c r="T712" i="1" a="1"/>
  <c r="S712" i="1"/>
  <c r="R712" i="1"/>
  <c r="V711" i="1"/>
  <c r="V711" i="1" a="1"/>
  <c r="U711" i="1"/>
  <c r="T711" i="1"/>
  <c r="T711" i="1" a="1"/>
  <c r="S711" i="1"/>
  <c r="R711" i="1"/>
  <c r="V710" i="1"/>
  <c r="V710" i="1" a="1"/>
  <c r="U710" i="1"/>
  <c r="T710" i="1"/>
  <c r="T710" i="1" a="1"/>
  <c r="S710" i="1"/>
  <c r="R710" i="1"/>
  <c r="V709" i="1"/>
  <c r="V709" i="1" a="1"/>
  <c r="U709" i="1"/>
  <c r="T709" i="1"/>
  <c r="T709" i="1" a="1"/>
  <c r="S709" i="1"/>
  <c r="R709" i="1"/>
  <c r="V708" i="1"/>
  <c r="V708" i="1" a="1"/>
  <c r="U708" i="1"/>
  <c r="T708" i="1"/>
  <c r="T708" i="1" a="1"/>
  <c r="S708" i="1"/>
  <c r="R708" i="1"/>
  <c r="V707" i="1"/>
  <c r="V707" i="1" a="1"/>
  <c r="U707" i="1"/>
  <c r="T707" i="1"/>
  <c r="T707" i="1" a="1"/>
  <c r="S707" i="1"/>
  <c r="R707" i="1"/>
  <c r="V706" i="1"/>
  <c r="V706" i="1" a="1"/>
  <c r="U706" i="1"/>
  <c r="T706" i="1"/>
  <c r="T706" i="1" a="1"/>
  <c r="S706" i="1"/>
  <c r="R706" i="1"/>
  <c r="V705" i="1"/>
  <c r="V705" i="1" a="1"/>
  <c r="U705" i="1"/>
  <c r="T705" i="1"/>
  <c r="T705" i="1" a="1"/>
  <c r="S705" i="1"/>
  <c r="R705" i="1"/>
  <c r="V704" i="1"/>
  <c r="V704" i="1" a="1"/>
  <c r="U704" i="1"/>
  <c r="T704" i="1"/>
  <c r="T704" i="1" a="1"/>
  <c r="S704" i="1"/>
  <c r="R704" i="1"/>
  <c r="V703" i="1"/>
  <c r="V703" i="1" a="1"/>
  <c r="U703" i="1"/>
  <c r="T703" i="1"/>
  <c r="T703" i="1" a="1"/>
  <c r="S703" i="1"/>
  <c r="R703" i="1"/>
  <c r="V702" i="1"/>
  <c r="V702" i="1" a="1"/>
  <c r="U702" i="1"/>
  <c r="T702" i="1"/>
  <c r="T702" i="1" a="1"/>
  <c r="S702" i="1"/>
  <c r="R702" i="1"/>
  <c r="V701" i="1"/>
  <c r="V701" i="1" a="1"/>
  <c r="U701" i="1"/>
  <c r="T701" i="1"/>
  <c r="T701" i="1" a="1"/>
  <c r="S701" i="1"/>
  <c r="R701" i="1"/>
  <c r="V700" i="1"/>
  <c r="V700" i="1" a="1"/>
  <c r="U700" i="1"/>
  <c r="T700" i="1"/>
  <c r="T700" i="1" a="1"/>
  <c r="S700" i="1"/>
  <c r="R700" i="1"/>
  <c r="V699" i="1"/>
  <c r="V699" i="1" a="1"/>
  <c r="U699" i="1"/>
  <c r="T699" i="1"/>
  <c r="T699" i="1" a="1"/>
  <c r="S699" i="1"/>
  <c r="R699" i="1"/>
  <c r="V698" i="1"/>
  <c r="V698" i="1" a="1"/>
  <c r="U698" i="1"/>
  <c r="T698" i="1"/>
  <c r="T698" i="1" a="1"/>
  <c r="S698" i="1"/>
  <c r="R698" i="1"/>
  <c r="V697" i="1"/>
  <c r="V697" i="1" a="1"/>
  <c r="U697" i="1"/>
  <c r="T697" i="1"/>
  <c r="T697" i="1" a="1"/>
  <c r="S697" i="1"/>
  <c r="R697" i="1"/>
  <c r="V696" i="1"/>
  <c r="V696" i="1" a="1"/>
  <c r="U696" i="1"/>
  <c r="T696" i="1"/>
  <c r="T696" i="1" a="1"/>
  <c r="S696" i="1"/>
  <c r="R696" i="1"/>
  <c r="V695" i="1"/>
  <c r="V695" i="1" a="1"/>
  <c r="U695" i="1"/>
  <c r="T695" i="1"/>
  <c r="T695" i="1" a="1"/>
  <c r="S695" i="1"/>
  <c r="R695" i="1"/>
  <c r="V694" i="1"/>
  <c r="V694" i="1" a="1"/>
  <c r="U694" i="1"/>
  <c r="T694" i="1"/>
  <c r="T694" i="1" a="1"/>
  <c r="S694" i="1"/>
  <c r="R694" i="1"/>
  <c r="V693" i="1"/>
  <c r="V693" i="1" a="1"/>
  <c r="U693" i="1"/>
  <c r="T693" i="1"/>
  <c r="T693" i="1" a="1"/>
  <c r="S693" i="1"/>
  <c r="R693" i="1"/>
  <c r="V692" i="1"/>
  <c r="V692" i="1" a="1"/>
  <c r="U692" i="1"/>
  <c r="T692" i="1"/>
  <c r="T692" i="1" a="1"/>
  <c r="S692" i="1"/>
  <c r="R692" i="1"/>
  <c r="V691" i="1"/>
  <c r="V691" i="1" a="1"/>
  <c r="U691" i="1"/>
  <c r="T691" i="1"/>
  <c r="T691" i="1" a="1"/>
  <c r="S691" i="1"/>
  <c r="R691" i="1"/>
  <c r="V690" i="1"/>
  <c r="V690" i="1" a="1"/>
  <c r="U690" i="1"/>
  <c r="T690" i="1"/>
  <c r="T690" i="1" a="1"/>
  <c r="S690" i="1"/>
  <c r="R690" i="1"/>
  <c r="V689" i="1"/>
  <c r="V689" i="1" a="1"/>
  <c r="U689" i="1"/>
  <c r="T689" i="1"/>
  <c r="T689" i="1" a="1"/>
  <c r="S689" i="1"/>
  <c r="R689" i="1"/>
  <c r="V688" i="1"/>
  <c r="V688" i="1" a="1"/>
  <c r="U688" i="1"/>
  <c r="T688" i="1"/>
  <c r="T688" i="1" a="1"/>
  <c r="S688" i="1"/>
  <c r="R688" i="1"/>
  <c r="V687" i="1"/>
  <c r="V687" i="1" a="1"/>
  <c r="U687" i="1"/>
  <c r="T687" i="1"/>
  <c r="T687" i="1" a="1"/>
  <c r="S687" i="1"/>
  <c r="R687" i="1"/>
  <c r="V686" i="1"/>
  <c r="V686" i="1" a="1"/>
  <c r="U686" i="1"/>
  <c r="T686" i="1"/>
  <c r="T686" i="1" a="1"/>
  <c r="S686" i="1"/>
  <c r="R686" i="1"/>
  <c r="V685" i="1"/>
  <c r="V685" i="1" a="1"/>
  <c r="U685" i="1"/>
  <c r="T685" i="1"/>
  <c r="T685" i="1" a="1"/>
  <c r="S685" i="1"/>
  <c r="R685" i="1"/>
  <c r="V684" i="1"/>
  <c r="V684" i="1" a="1"/>
  <c r="U684" i="1"/>
  <c r="T684" i="1"/>
  <c r="T684" i="1" a="1"/>
  <c r="S684" i="1"/>
  <c r="R684" i="1"/>
  <c r="V683" i="1"/>
  <c r="V683" i="1" a="1"/>
  <c r="U683" i="1"/>
  <c r="T683" i="1"/>
  <c r="T683" i="1" a="1"/>
  <c r="S683" i="1"/>
  <c r="R683" i="1"/>
  <c r="V682" i="1"/>
  <c r="V682" i="1" a="1"/>
  <c r="U682" i="1"/>
  <c r="T682" i="1"/>
  <c r="T682" i="1" a="1"/>
  <c r="S682" i="1"/>
  <c r="R682" i="1"/>
  <c r="V681" i="1"/>
  <c r="V681" i="1" a="1"/>
  <c r="U681" i="1"/>
  <c r="T681" i="1"/>
  <c r="T681" i="1" a="1"/>
  <c r="S681" i="1"/>
  <c r="R681" i="1"/>
  <c r="V680" i="1"/>
  <c r="V680" i="1" a="1"/>
  <c r="U680" i="1"/>
  <c r="T680" i="1"/>
  <c r="T680" i="1" a="1"/>
  <c r="S680" i="1"/>
  <c r="R680" i="1"/>
  <c r="V679" i="1"/>
  <c r="V679" i="1" a="1"/>
  <c r="U679" i="1"/>
  <c r="T679" i="1"/>
  <c r="T679" i="1" a="1"/>
  <c r="S679" i="1"/>
  <c r="R679" i="1"/>
  <c r="V678" i="1"/>
  <c r="V678" i="1" a="1"/>
  <c r="U678" i="1"/>
  <c r="T678" i="1"/>
  <c r="T678" i="1" a="1"/>
  <c r="S678" i="1"/>
  <c r="R678" i="1"/>
  <c r="V677" i="1"/>
  <c r="V677" i="1" a="1"/>
  <c r="U677" i="1"/>
  <c r="T677" i="1"/>
  <c r="T677" i="1" a="1"/>
  <c r="S677" i="1"/>
  <c r="R677" i="1"/>
  <c r="V676" i="1"/>
  <c r="V676" i="1" a="1"/>
  <c r="U676" i="1"/>
  <c r="T676" i="1"/>
  <c r="T676" i="1" a="1"/>
  <c r="S676" i="1"/>
  <c r="R676" i="1"/>
  <c r="V675" i="1"/>
  <c r="V675" i="1" a="1"/>
  <c r="U675" i="1"/>
  <c r="T675" i="1"/>
  <c r="T675" i="1" a="1"/>
  <c r="S675" i="1"/>
  <c r="R675" i="1"/>
  <c r="V674" i="1"/>
  <c r="V674" i="1" a="1"/>
  <c r="U674" i="1"/>
  <c r="T674" i="1"/>
  <c r="T674" i="1" a="1"/>
  <c r="S674" i="1"/>
  <c r="R674" i="1"/>
  <c r="V673" i="1"/>
  <c r="V673" i="1" a="1"/>
  <c r="U673" i="1"/>
  <c r="T673" i="1"/>
  <c r="T673" i="1" a="1"/>
  <c r="S673" i="1"/>
  <c r="R673" i="1"/>
  <c r="V672" i="1"/>
  <c r="V672" i="1" a="1"/>
  <c r="U672" i="1"/>
  <c r="T672" i="1"/>
  <c r="T672" i="1" a="1"/>
  <c r="S672" i="1"/>
  <c r="R672" i="1"/>
  <c r="V671" i="1"/>
  <c r="V671" i="1" a="1"/>
  <c r="U671" i="1"/>
  <c r="T671" i="1"/>
  <c r="T671" i="1" a="1"/>
  <c r="S671" i="1"/>
  <c r="R671" i="1"/>
  <c r="V670" i="1"/>
  <c r="V670" i="1" a="1"/>
  <c r="U670" i="1"/>
  <c r="T670" i="1"/>
  <c r="T670" i="1" a="1"/>
  <c r="S670" i="1"/>
  <c r="R670" i="1"/>
  <c r="V669" i="1"/>
  <c r="V669" i="1" a="1"/>
  <c r="U669" i="1"/>
  <c r="T669" i="1"/>
  <c r="T669" i="1" a="1"/>
  <c r="S669" i="1"/>
  <c r="R669" i="1"/>
  <c r="V668" i="1"/>
  <c r="V668" i="1" a="1"/>
  <c r="U668" i="1"/>
  <c r="T668" i="1"/>
  <c r="T668" i="1" a="1"/>
  <c r="S668" i="1"/>
  <c r="R668" i="1"/>
  <c r="V667" i="1"/>
  <c r="V667" i="1" a="1"/>
  <c r="U667" i="1"/>
  <c r="T667" i="1"/>
  <c r="T667" i="1" a="1"/>
  <c r="S667" i="1"/>
  <c r="R667" i="1"/>
  <c r="V666" i="1"/>
  <c r="V666" i="1" a="1"/>
  <c r="U666" i="1"/>
  <c r="T666" i="1"/>
  <c r="T666" i="1" a="1"/>
  <c r="S666" i="1"/>
  <c r="R666" i="1"/>
  <c r="V665" i="1"/>
  <c r="V665" i="1" a="1"/>
  <c r="U665" i="1"/>
  <c r="T665" i="1"/>
  <c r="T665" i="1" a="1"/>
  <c r="S665" i="1"/>
  <c r="R665" i="1"/>
  <c r="V664" i="1"/>
  <c r="V664" i="1" a="1"/>
  <c r="U664" i="1"/>
  <c r="T664" i="1"/>
  <c r="T664" i="1" a="1"/>
  <c r="S664" i="1"/>
  <c r="R664" i="1"/>
  <c r="V663" i="1"/>
  <c r="V663" i="1" a="1"/>
  <c r="U663" i="1"/>
  <c r="T663" i="1"/>
  <c r="T663" i="1" a="1"/>
  <c r="S663" i="1"/>
  <c r="R663" i="1"/>
  <c r="V662" i="1"/>
  <c r="V662" i="1" a="1"/>
  <c r="U662" i="1"/>
  <c r="T662" i="1"/>
  <c r="T662" i="1" a="1"/>
  <c r="S662" i="1"/>
  <c r="R662" i="1"/>
  <c r="V661" i="1"/>
  <c r="V661" i="1" a="1"/>
  <c r="U661" i="1"/>
  <c r="T661" i="1"/>
  <c r="T661" i="1" a="1"/>
  <c r="S661" i="1"/>
  <c r="R661" i="1"/>
  <c r="V660" i="1"/>
  <c r="V660" i="1" a="1"/>
  <c r="U660" i="1"/>
  <c r="T660" i="1"/>
  <c r="T660" i="1" a="1"/>
  <c r="S660" i="1"/>
  <c r="R660" i="1"/>
  <c r="V659" i="1"/>
  <c r="V659" i="1" a="1"/>
  <c r="U659" i="1"/>
  <c r="T659" i="1"/>
  <c r="T659" i="1" a="1"/>
  <c r="S659" i="1"/>
  <c r="R659" i="1"/>
  <c r="V658" i="1"/>
  <c r="V658" i="1" a="1"/>
  <c r="U658" i="1"/>
  <c r="T658" i="1"/>
  <c r="T658" i="1" a="1"/>
  <c r="S658" i="1"/>
  <c r="R658" i="1"/>
  <c r="V657" i="1"/>
  <c r="V657" i="1" a="1"/>
  <c r="U657" i="1"/>
  <c r="T657" i="1"/>
  <c r="T657" i="1" a="1"/>
  <c r="S657" i="1"/>
  <c r="R657" i="1"/>
  <c r="V656" i="1"/>
  <c r="V656" i="1" a="1"/>
  <c r="U656" i="1"/>
  <c r="T656" i="1"/>
  <c r="T656" i="1" a="1"/>
  <c r="S656" i="1"/>
  <c r="R656" i="1"/>
  <c r="V655" i="1"/>
  <c r="V655" i="1" a="1"/>
  <c r="U655" i="1"/>
  <c r="T655" i="1"/>
  <c r="T655" i="1" a="1"/>
  <c r="S655" i="1"/>
  <c r="R655" i="1"/>
  <c r="V654" i="1"/>
  <c r="V654" i="1" a="1"/>
  <c r="U654" i="1"/>
  <c r="T654" i="1"/>
  <c r="T654" i="1" a="1"/>
  <c r="S654" i="1"/>
  <c r="R654" i="1"/>
  <c r="V653" i="1"/>
  <c r="V653" i="1" a="1"/>
  <c r="U653" i="1"/>
  <c r="T653" i="1"/>
  <c r="T653" i="1" a="1"/>
  <c r="S653" i="1"/>
  <c r="R653" i="1"/>
  <c r="V652" i="1"/>
  <c r="V652" i="1" a="1"/>
  <c r="U652" i="1"/>
  <c r="T652" i="1"/>
  <c r="T652" i="1" a="1"/>
  <c r="S652" i="1"/>
  <c r="R652" i="1"/>
  <c r="V651" i="1"/>
  <c r="V651" i="1" a="1"/>
  <c r="U651" i="1"/>
  <c r="T651" i="1"/>
  <c r="T651" i="1" a="1"/>
  <c r="S651" i="1"/>
  <c r="R651" i="1"/>
  <c r="V650" i="1"/>
  <c r="V650" i="1" a="1"/>
  <c r="U650" i="1"/>
  <c r="T650" i="1"/>
  <c r="T650" i="1" a="1"/>
  <c r="S650" i="1"/>
  <c r="R650" i="1"/>
  <c r="V649" i="1"/>
  <c r="V649" i="1" a="1"/>
  <c r="U649" i="1"/>
  <c r="T649" i="1"/>
  <c r="T649" i="1" a="1"/>
  <c r="S649" i="1"/>
  <c r="R649" i="1"/>
  <c r="V648" i="1"/>
  <c r="V648" i="1" a="1"/>
  <c r="U648" i="1"/>
  <c r="T648" i="1"/>
  <c r="T648" i="1" a="1"/>
  <c r="S648" i="1"/>
  <c r="R648" i="1"/>
  <c r="V647" i="1"/>
  <c r="V647" i="1" a="1"/>
  <c r="U647" i="1"/>
  <c r="T647" i="1"/>
  <c r="T647" i="1" a="1"/>
  <c r="S647" i="1"/>
  <c r="R647" i="1"/>
  <c r="V646" i="1"/>
  <c r="V646" i="1" a="1"/>
  <c r="U646" i="1"/>
  <c r="T646" i="1"/>
  <c r="T646" i="1" a="1"/>
  <c r="S646" i="1"/>
  <c r="R646" i="1"/>
  <c r="V645" i="1"/>
  <c r="V645" i="1" a="1"/>
  <c r="U645" i="1"/>
  <c r="T645" i="1"/>
  <c r="T645" i="1" a="1"/>
  <c r="S645" i="1"/>
  <c r="R645" i="1"/>
  <c r="V644" i="1"/>
  <c r="V644" i="1" a="1"/>
  <c r="U644" i="1"/>
  <c r="T644" i="1"/>
  <c r="T644" i="1" a="1"/>
  <c r="S644" i="1"/>
  <c r="R644" i="1"/>
  <c r="V643" i="1"/>
  <c r="V643" i="1" a="1"/>
  <c r="U643" i="1"/>
  <c r="T643" i="1"/>
  <c r="T643" i="1" a="1"/>
  <c r="S643" i="1"/>
  <c r="R643" i="1"/>
  <c r="V642" i="1"/>
  <c r="V642" i="1" a="1"/>
  <c r="U642" i="1"/>
  <c r="T642" i="1"/>
  <c r="T642" i="1" a="1"/>
  <c r="S642" i="1"/>
  <c r="R642" i="1"/>
  <c r="V641" i="1"/>
  <c r="V641" i="1" a="1"/>
  <c r="U641" i="1"/>
  <c r="T641" i="1"/>
  <c r="T641" i="1" a="1"/>
  <c r="S641" i="1"/>
  <c r="R641" i="1"/>
  <c r="V640" i="1"/>
  <c r="V640" i="1" a="1"/>
  <c r="U640" i="1"/>
  <c r="T640" i="1"/>
  <c r="T640" i="1" a="1"/>
  <c r="S640" i="1"/>
  <c r="R640" i="1"/>
  <c r="V639" i="1"/>
  <c r="V639" i="1" a="1"/>
  <c r="U639" i="1"/>
  <c r="T639" i="1"/>
  <c r="T639" i="1" a="1"/>
  <c r="S639" i="1"/>
  <c r="R639" i="1"/>
  <c r="V638" i="1"/>
  <c r="V638" i="1" a="1"/>
  <c r="U638" i="1"/>
  <c r="T638" i="1"/>
  <c r="T638" i="1" a="1"/>
  <c r="S638" i="1"/>
  <c r="R638" i="1"/>
  <c r="V637" i="1"/>
  <c r="V637" i="1" a="1"/>
  <c r="U637" i="1"/>
  <c r="T637" i="1"/>
  <c r="T637" i="1" a="1"/>
  <c r="S637" i="1"/>
  <c r="R637" i="1"/>
  <c r="V636" i="1"/>
  <c r="V636" i="1" a="1"/>
  <c r="U636" i="1"/>
  <c r="T636" i="1"/>
  <c r="T636" i="1" a="1"/>
  <c r="S636" i="1"/>
  <c r="R636" i="1"/>
  <c r="V635" i="1"/>
  <c r="V635" i="1" a="1"/>
  <c r="U635" i="1"/>
  <c r="T635" i="1"/>
  <c r="T635" i="1" a="1"/>
  <c r="S635" i="1"/>
  <c r="R635" i="1"/>
  <c r="V634" i="1"/>
  <c r="V634" i="1" a="1"/>
  <c r="U634" i="1"/>
  <c r="T634" i="1"/>
  <c r="T634" i="1" a="1"/>
  <c r="S634" i="1"/>
  <c r="R634" i="1"/>
  <c r="V633" i="1"/>
  <c r="V633" i="1" a="1"/>
  <c r="U633" i="1"/>
  <c r="T633" i="1"/>
  <c r="T633" i="1" a="1"/>
  <c r="S633" i="1"/>
  <c r="R633" i="1"/>
  <c r="V632" i="1"/>
  <c r="V632" i="1" a="1"/>
  <c r="U632" i="1"/>
  <c r="T632" i="1"/>
  <c r="T632" i="1" a="1"/>
  <c r="S632" i="1"/>
  <c r="R632" i="1"/>
  <c r="V631" i="1"/>
  <c r="V631" i="1" a="1"/>
  <c r="U631" i="1"/>
  <c r="T631" i="1"/>
  <c r="T631" i="1" a="1"/>
  <c r="S631" i="1"/>
  <c r="R631" i="1"/>
  <c r="V630" i="1"/>
  <c r="V630" i="1" a="1"/>
  <c r="U630" i="1"/>
  <c r="T630" i="1"/>
  <c r="T630" i="1" a="1"/>
  <c r="S630" i="1"/>
  <c r="R630" i="1"/>
  <c r="V629" i="1"/>
  <c r="V629" i="1" a="1"/>
  <c r="U629" i="1"/>
  <c r="T629" i="1"/>
  <c r="T629" i="1" a="1"/>
  <c r="S629" i="1"/>
  <c r="R629" i="1"/>
  <c r="V628" i="1"/>
  <c r="V628" i="1" a="1"/>
  <c r="U628" i="1"/>
  <c r="T628" i="1"/>
  <c r="T628" i="1" a="1"/>
  <c r="S628" i="1"/>
  <c r="R628" i="1"/>
  <c r="V627" i="1"/>
  <c r="V627" i="1" a="1"/>
  <c r="U627" i="1"/>
  <c r="T627" i="1"/>
  <c r="T627" i="1" a="1"/>
  <c r="S627" i="1"/>
  <c r="R627" i="1"/>
  <c r="V626" i="1"/>
  <c r="V626" i="1" a="1"/>
  <c r="U626" i="1"/>
  <c r="T626" i="1"/>
  <c r="T626" i="1" a="1"/>
  <c r="S626" i="1"/>
  <c r="R626" i="1"/>
  <c r="V625" i="1"/>
  <c r="V625" i="1" a="1"/>
  <c r="U625" i="1"/>
  <c r="T625" i="1"/>
  <c r="T625" i="1" a="1"/>
  <c r="S625" i="1"/>
  <c r="R625" i="1"/>
  <c r="V624" i="1"/>
  <c r="V624" i="1" a="1"/>
  <c r="U624" i="1"/>
  <c r="T624" i="1"/>
  <c r="T624" i="1" a="1"/>
  <c r="S624" i="1"/>
  <c r="R624" i="1"/>
  <c r="V623" i="1"/>
  <c r="V623" i="1" a="1"/>
  <c r="U623" i="1"/>
  <c r="T623" i="1"/>
  <c r="T623" i="1" a="1"/>
  <c r="S623" i="1"/>
  <c r="R623" i="1"/>
  <c r="V622" i="1"/>
  <c r="V622" i="1" a="1"/>
  <c r="U622" i="1"/>
  <c r="T622" i="1"/>
  <c r="T622" i="1" a="1"/>
  <c r="S622" i="1"/>
  <c r="R622" i="1"/>
  <c r="V621" i="1"/>
  <c r="V621" i="1" a="1"/>
  <c r="U621" i="1"/>
  <c r="T621" i="1"/>
  <c r="T621" i="1" a="1"/>
  <c r="S621" i="1"/>
  <c r="R621" i="1"/>
  <c r="V620" i="1"/>
  <c r="V620" i="1" a="1"/>
  <c r="U620" i="1"/>
  <c r="T620" i="1"/>
  <c r="T620" i="1" a="1"/>
  <c r="S620" i="1"/>
  <c r="R620" i="1"/>
  <c r="V619" i="1"/>
  <c r="V619" i="1" a="1"/>
  <c r="U619" i="1"/>
  <c r="T619" i="1"/>
  <c r="T619" i="1" a="1"/>
  <c r="S619" i="1"/>
  <c r="R619" i="1"/>
  <c r="V618" i="1"/>
  <c r="V618" i="1" a="1"/>
  <c r="U618" i="1"/>
  <c r="T618" i="1"/>
  <c r="T618" i="1" a="1"/>
  <c r="S618" i="1"/>
  <c r="R618" i="1"/>
  <c r="V617" i="1"/>
  <c r="V617" i="1" a="1"/>
  <c r="U617" i="1"/>
  <c r="T617" i="1"/>
  <c r="T617" i="1" a="1"/>
  <c r="S617" i="1"/>
  <c r="R617" i="1"/>
  <c r="V616" i="1"/>
  <c r="V616" i="1" a="1"/>
  <c r="U616" i="1"/>
  <c r="T616" i="1"/>
  <c r="T616" i="1" a="1"/>
  <c r="S616" i="1"/>
  <c r="R616" i="1"/>
  <c r="V615" i="1"/>
  <c r="V615" i="1" a="1"/>
  <c r="U615" i="1"/>
  <c r="T615" i="1"/>
  <c r="T615" i="1" a="1"/>
  <c r="S615" i="1"/>
  <c r="R615" i="1"/>
  <c r="V614" i="1"/>
  <c r="V614" i="1" a="1"/>
  <c r="U614" i="1"/>
  <c r="T614" i="1"/>
  <c r="T614" i="1" a="1"/>
  <c r="S614" i="1"/>
  <c r="R614" i="1"/>
  <c r="V613" i="1"/>
  <c r="V613" i="1" a="1"/>
  <c r="U613" i="1"/>
  <c r="T613" i="1"/>
  <c r="T613" i="1" a="1"/>
  <c r="S613" i="1"/>
  <c r="R613" i="1"/>
  <c r="V612" i="1"/>
  <c r="V612" i="1" a="1"/>
  <c r="U612" i="1"/>
  <c r="T612" i="1"/>
  <c r="T612" i="1" a="1"/>
  <c r="S612" i="1"/>
  <c r="R612" i="1"/>
  <c r="V611" i="1"/>
  <c r="V611" i="1" a="1"/>
  <c r="U611" i="1"/>
  <c r="T611" i="1"/>
  <c r="T611" i="1" a="1"/>
  <c r="S611" i="1"/>
  <c r="R611" i="1"/>
  <c r="V610" i="1"/>
  <c r="V610" i="1" a="1"/>
  <c r="U610" i="1"/>
  <c r="T610" i="1"/>
  <c r="T610" i="1" a="1"/>
  <c r="S610" i="1"/>
  <c r="R610" i="1"/>
  <c r="V609" i="1"/>
  <c r="V609" i="1" a="1"/>
  <c r="U609" i="1"/>
  <c r="T609" i="1"/>
  <c r="T609" i="1" a="1"/>
  <c r="S609" i="1"/>
  <c r="R609" i="1"/>
  <c r="V608" i="1"/>
  <c r="V608" i="1" a="1"/>
  <c r="U608" i="1"/>
  <c r="T608" i="1"/>
  <c r="T608" i="1" a="1"/>
  <c r="S608" i="1"/>
  <c r="R608" i="1"/>
  <c r="V607" i="1"/>
  <c r="V607" i="1" a="1"/>
  <c r="U607" i="1"/>
  <c r="T607" i="1"/>
  <c r="T607" i="1" a="1"/>
  <c r="S607" i="1"/>
  <c r="R607" i="1"/>
  <c r="V606" i="1"/>
  <c r="V606" i="1" a="1"/>
  <c r="U606" i="1"/>
  <c r="T606" i="1"/>
  <c r="T606" i="1" a="1"/>
  <c r="S606" i="1"/>
  <c r="R606" i="1"/>
  <c r="V605" i="1"/>
  <c r="V605" i="1" a="1"/>
  <c r="U605" i="1"/>
  <c r="T605" i="1"/>
  <c r="T605" i="1" a="1"/>
  <c r="S605" i="1"/>
  <c r="R605" i="1"/>
  <c r="V604" i="1"/>
  <c r="V604" i="1" a="1"/>
  <c r="U604" i="1"/>
  <c r="T604" i="1"/>
  <c r="T604" i="1" a="1"/>
  <c r="S604" i="1"/>
  <c r="R604" i="1"/>
  <c r="V603" i="1"/>
  <c r="V603" i="1" a="1"/>
  <c r="U603" i="1"/>
  <c r="T603" i="1"/>
  <c r="T603" i="1" a="1"/>
  <c r="S603" i="1"/>
  <c r="R603" i="1"/>
  <c r="V602" i="1"/>
  <c r="V602" i="1" a="1"/>
  <c r="U602" i="1"/>
  <c r="T602" i="1"/>
  <c r="T602" i="1" a="1"/>
  <c r="S602" i="1"/>
  <c r="R602" i="1"/>
  <c r="V601" i="1"/>
  <c r="V601" i="1" a="1"/>
  <c r="U601" i="1"/>
  <c r="T601" i="1"/>
  <c r="T601" i="1" a="1"/>
  <c r="S601" i="1"/>
  <c r="R601" i="1"/>
  <c r="V600" i="1"/>
  <c r="V600" i="1" a="1"/>
  <c r="U600" i="1"/>
  <c r="T600" i="1"/>
  <c r="T600" i="1" a="1"/>
  <c r="S600" i="1"/>
  <c r="R600" i="1"/>
  <c r="V599" i="1"/>
  <c r="V599" i="1" a="1"/>
  <c r="U599" i="1"/>
  <c r="T599" i="1"/>
  <c r="T599" i="1" a="1"/>
  <c r="S599" i="1"/>
  <c r="R599" i="1"/>
  <c r="V598" i="1"/>
  <c r="V598" i="1" a="1"/>
  <c r="U598" i="1"/>
  <c r="T598" i="1"/>
  <c r="T598" i="1" a="1"/>
  <c r="S598" i="1"/>
  <c r="R598" i="1"/>
  <c r="V597" i="1"/>
  <c r="V597" i="1" a="1"/>
  <c r="U597" i="1"/>
  <c r="T597" i="1"/>
  <c r="T597" i="1" a="1"/>
  <c r="S597" i="1"/>
  <c r="R597" i="1"/>
  <c r="V596" i="1"/>
  <c r="V596" i="1" a="1"/>
  <c r="U596" i="1"/>
  <c r="T596" i="1"/>
  <c r="T596" i="1" a="1"/>
  <c r="S596" i="1"/>
  <c r="R596" i="1"/>
  <c r="V595" i="1"/>
  <c r="V595" i="1" a="1"/>
  <c r="U595" i="1"/>
  <c r="T595" i="1"/>
  <c r="T595" i="1" a="1"/>
  <c r="S595" i="1"/>
  <c r="R595" i="1"/>
  <c r="V594" i="1"/>
  <c r="V594" i="1" a="1"/>
  <c r="U594" i="1"/>
  <c r="T594" i="1"/>
  <c r="T594" i="1" a="1"/>
  <c r="S594" i="1"/>
  <c r="R594" i="1"/>
  <c r="V593" i="1"/>
  <c r="V593" i="1" a="1"/>
  <c r="U593" i="1"/>
  <c r="T593" i="1"/>
  <c r="T593" i="1" a="1"/>
  <c r="S593" i="1"/>
  <c r="R593" i="1"/>
  <c r="V592" i="1"/>
  <c r="V592" i="1" a="1"/>
  <c r="U592" i="1"/>
  <c r="T592" i="1"/>
  <c r="T592" i="1" a="1"/>
  <c r="S592" i="1"/>
  <c r="R592" i="1"/>
  <c r="V591" i="1"/>
  <c r="V591" i="1" a="1"/>
  <c r="U591" i="1"/>
  <c r="T591" i="1"/>
  <c r="T591" i="1" a="1"/>
  <c r="S591" i="1"/>
  <c r="R591" i="1"/>
  <c r="V590" i="1"/>
  <c r="V590" i="1" a="1"/>
  <c r="U590" i="1"/>
  <c r="T590" i="1"/>
  <c r="T590" i="1" a="1"/>
  <c r="S590" i="1"/>
  <c r="R590" i="1"/>
  <c r="V589" i="1"/>
  <c r="V589" i="1" a="1"/>
  <c r="U589" i="1"/>
  <c r="T589" i="1"/>
  <c r="T589" i="1" a="1"/>
  <c r="S589" i="1"/>
  <c r="R589" i="1"/>
  <c r="V588" i="1"/>
  <c r="V588" i="1" a="1"/>
  <c r="U588" i="1"/>
  <c r="T588" i="1"/>
  <c r="T588" i="1" a="1"/>
  <c r="S588" i="1"/>
  <c r="R588" i="1"/>
  <c r="V587" i="1"/>
  <c r="V587" i="1" a="1"/>
  <c r="U587" i="1"/>
  <c r="T587" i="1"/>
  <c r="T587" i="1" a="1"/>
  <c r="S587" i="1"/>
  <c r="R587" i="1"/>
  <c r="V586" i="1"/>
  <c r="V586" i="1" a="1"/>
  <c r="U586" i="1"/>
  <c r="T586" i="1"/>
  <c r="T586" i="1" a="1"/>
  <c r="S586" i="1"/>
  <c r="R586" i="1"/>
  <c r="V585" i="1"/>
  <c r="V585" i="1" a="1"/>
  <c r="U585" i="1"/>
  <c r="T585" i="1"/>
  <c r="T585" i="1" a="1"/>
  <c r="S585" i="1"/>
  <c r="R585" i="1"/>
  <c r="V584" i="1"/>
  <c r="V584" i="1" a="1"/>
  <c r="U584" i="1"/>
  <c r="T584" i="1"/>
  <c r="T584" i="1" a="1"/>
  <c r="S584" i="1"/>
  <c r="R584" i="1"/>
  <c r="V583" i="1"/>
  <c r="V583" i="1" a="1"/>
  <c r="U583" i="1"/>
  <c r="T583" i="1"/>
  <c r="T583" i="1" a="1"/>
  <c r="S583" i="1"/>
  <c r="R583" i="1"/>
  <c r="V582" i="1"/>
  <c r="V582" i="1" a="1"/>
  <c r="U582" i="1"/>
  <c r="T582" i="1"/>
  <c r="T582" i="1" a="1"/>
  <c r="S582" i="1"/>
  <c r="R582" i="1"/>
  <c r="V581" i="1"/>
  <c r="V581" i="1" a="1"/>
  <c r="U581" i="1"/>
  <c r="T581" i="1"/>
  <c r="T581" i="1" a="1"/>
  <c r="S581" i="1"/>
  <c r="R581" i="1"/>
  <c r="V580" i="1"/>
  <c r="V580" i="1" a="1"/>
  <c r="U580" i="1"/>
  <c r="T580" i="1"/>
  <c r="T580" i="1" a="1"/>
  <c r="S580" i="1"/>
  <c r="R580" i="1"/>
  <c r="V579" i="1"/>
  <c r="V579" i="1" a="1"/>
  <c r="U579" i="1"/>
  <c r="T579" i="1"/>
  <c r="T579" i="1" a="1"/>
  <c r="S579" i="1"/>
  <c r="R579" i="1"/>
  <c r="V578" i="1"/>
  <c r="V578" i="1" a="1"/>
  <c r="U578" i="1"/>
  <c r="T578" i="1"/>
  <c r="T578" i="1" a="1"/>
  <c r="S578" i="1"/>
  <c r="R578" i="1"/>
  <c r="V577" i="1"/>
  <c r="V577" i="1" a="1"/>
  <c r="U577" i="1"/>
  <c r="T577" i="1"/>
  <c r="T577" i="1" a="1"/>
  <c r="S577" i="1"/>
  <c r="R577" i="1"/>
  <c r="V576" i="1"/>
  <c r="V576" i="1" a="1"/>
  <c r="U576" i="1"/>
  <c r="T576" i="1"/>
  <c r="T576" i="1" a="1"/>
  <c r="S576" i="1"/>
  <c r="R576" i="1"/>
  <c r="V575" i="1"/>
  <c r="V575" i="1" a="1"/>
  <c r="U575" i="1"/>
  <c r="T575" i="1"/>
  <c r="T575" i="1" a="1"/>
  <c r="S575" i="1"/>
  <c r="R575" i="1"/>
  <c r="V574" i="1"/>
  <c r="V574" i="1" a="1"/>
  <c r="U574" i="1"/>
  <c r="T574" i="1"/>
  <c r="T574" i="1" a="1"/>
  <c r="S574" i="1"/>
  <c r="R574" i="1"/>
  <c r="V573" i="1"/>
  <c r="V573" i="1" a="1"/>
  <c r="U573" i="1"/>
  <c r="T573" i="1"/>
  <c r="T573" i="1" a="1"/>
  <c r="S573" i="1"/>
  <c r="R573" i="1"/>
  <c r="V572" i="1"/>
  <c r="V572" i="1" a="1"/>
  <c r="U572" i="1"/>
  <c r="T572" i="1"/>
  <c r="T572" i="1" a="1"/>
  <c r="S572" i="1"/>
  <c r="R572" i="1"/>
  <c r="V571" i="1"/>
  <c r="V571" i="1" a="1"/>
  <c r="U571" i="1"/>
  <c r="T571" i="1"/>
  <c r="T571" i="1" a="1"/>
  <c r="S571" i="1"/>
  <c r="R571" i="1"/>
  <c r="V570" i="1"/>
  <c r="V570" i="1" a="1"/>
  <c r="U570" i="1"/>
  <c r="T570" i="1"/>
  <c r="T570" i="1" a="1"/>
  <c r="S570" i="1"/>
  <c r="R570" i="1"/>
  <c r="V569" i="1"/>
  <c r="V569" i="1" a="1"/>
  <c r="U569" i="1"/>
  <c r="T569" i="1"/>
  <c r="T569" i="1" a="1"/>
  <c r="S569" i="1"/>
  <c r="R569" i="1"/>
  <c r="V568" i="1"/>
  <c r="V568" i="1" a="1"/>
  <c r="U568" i="1"/>
  <c r="T568" i="1"/>
  <c r="T568" i="1" a="1"/>
  <c r="S568" i="1"/>
  <c r="R568" i="1"/>
  <c r="V567" i="1"/>
  <c r="V567" i="1" a="1"/>
  <c r="U567" i="1"/>
  <c r="T567" i="1"/>
  <c r="T567" i="1" a="1"/>
  <c r="S567" i="1"/>
  <c r="R567" i="1"/>
  <c r="V566" i="1"/>
  <c r="V566" i="1" a="1"/>
  <c r="U566" i="1"/>
  <c r="T566" i="1"/>
  <c r="T566" i="1" a="1"/>
  <c r="S566" i="1"/>
  <c r="R566" i="1"/>
  <c r="V565" i="1"/>
  <c r="V565" i="1" a="1"/>
  <c r="U565" i="1"/>
  <c r="T565" i="1"/>
  <c r="T565" i="1" a="1"/>
  <c r="S565" i="1"/>
  <c r="R565" i="1"/>
  <c r="V564" i="1"/>
  <c r="V564" i="1" a="1"/>
  <c r="U564" i="1"/>
  <c r="T564" i="1"/>
  <c r="T564" i="1" a="1"/>
  <c r="S564" i="1"/>
  <c r="R564" i="1"/>
  <c r="V563" i="1"/>
  <c r="V563" i="1" a="1"/>
  <c r="U563" i="1"/>
  <c r="T563" i="1"/>
  <c r="T563" i="1" a="1"/>
  <c r="S563" i="1"/>
  <c r="R563" i="1"/>
  <c r="V562" i="1"/>
  <c r="V562" i="1" a="1"/>
  <c r="U562" i="1"/>
  <c r="T562" i="1"/>
  <c r="T562" i="1" a="1"/>
  <c r="S562" i="1"/>
  <c r="R562" i="1"/>
  <c r="V561" i="1"/>
  <c r="V561" i="1" a="1"/>
  <c r="U561" i="1"/>
  <c r="T561" i="1"/>
  <c r="T561" i="1" a="1"/>
  <c r="S561" i="1"/>
  <c r="R561" i="1"/>
  <c r="V560" i="1"/>
  <c r="V560" i="1" a="1"/>
  <c r="U560" i="1"/>
  <c r="T560" i="1"/>
  <c r="T560" i="1" a="1"/>
  <c r="S560" i="1"/>
  <c r="R560" i="1"/>
  <c r="V559" i="1"/>
  <c r="V559" i="1" a="1"/>
  <c r="U559" i="1"/>
  <c r="T559" i="1"/>
  <c r="T559" i="1" a="1"/>
  <c r="S559" i="1"/>
  <c r="R559" i="1"/>
  <c r="V558" i="1"/>
  <c r="V558" i="1" a="1"/>
  <c r="U558" i="1"/>
  <c r="T558" i="1"/>
  <c r="T558" i="1" a="1"/>
  <c r="S558" i="1"/>
  <c r="R558" i="1"/>
  <c r="V557" i="1"/>
  <c r="V557" i="1" a="1"/>
  <c r="U557" i="1"/>
  <c r="T557" i="1"/>
  <c r="T557" i="1" a="1"/>
  <c r="S557" i="1"/>
  <c r="R557" i="1"/>
  <c r="V556" i="1"/>
  <c r="V556" i="1" a="1"/>
  <c r="U556" i="1"/>
  <c r="T556" i="1"/>
  <c r="T556" i="1" a="1"/>
  <c r="S556" i="1"/>
  <c r="R556" i="1"/>
  <c r="V555" i="1"/>
  <c r="V555" i="1" a="1"/>
  <c r="U555" i="1"/>
  <c r="T555" i="1"/>
  <c r="T555" i="1" a="1"/>
  <c r="S555" i="1"/>
  <c r="R555" i="1"/>
  <c r="V554" i="1"/>
  <c r="V554" i="1" a="1"/>
  <c r="U554" i="1"/>
  <c r="T554" i="1"/>
  <c r="T554" i="1" a="1"/>
  <c r="S554" i="1"/>
  <c r="R554" i="1"/>
  <c r="V553" i="1"/>
  <c r="V553" i="1" a="1"/>
  <c r="U553" i="1"/>
  <c r="T553" i="1"/>
  <c r="T553" i="1" a="1"/>
  <c r="S553" i="1"/>
  <c r="R553" i="1"/>
  <c r="V552" i="1"/>
  <c r="V552" i="1" a="1"/>
  <c r="U552" i="1"/>
  <c r="T552" i="1"/>
  <c r="T552" i="1" a="1"/>
  <c r="S552" i="1"/>
  <c r="R552" i="1"/>
  <c r="V551" i="1"/>
  <c r="V551" i="1" a="1"/>
  <c r="U551" i="1"/>
  <c r="T551" i="1"/>
  <c r="T551" i="1" a="1"/>
  <c r="S551" i="1"/>
  <c r="R551" i="1"/>
  <c r="V550" i="1"/>
  <c r="V550" i="1" a="1"/>
  <c r="U550" i="1"/>
  <c r="T550" i="1"/>
  <c r="T550" i="1" a="1"/>
  <c r="S550" i="1"/>
  <c r="R550" i="1"/>
  <c r="V549" i="1"/>
  <c r="V549" i="1" a="1"/>
  <c r="U549" i="1"/>
  <c r="T549" i="1"/>
  <c r="T549" i="1" a="1"/>
  <c r="S549" i="1"/>
  <c r="R549" i="1"/>
  <c r="V548" i="1"/>
  <c r="V548" i="1" a="1"/>
  <c r="U548" i="1"/>
  <c r="T548" i="1"/>
  <c r="T548" i="1" a="1"/>
  <c r="S548" i="1"/>
  <c r="R548" i="1"/>
  <c r="V547" i="1"/>
  <c r="V547" i="1" a="1"/>
  <c r="U547" i="1"/>
  <c r="T547" i="1"/>
  <c r="T547" i="1" a="1"/>
  <c r="S547" i="1"/>
  <c r="R547" i="1"/>
  <c r="V546" i="1"/>
  <c r="V546" i="1" a="1"/>
  <c r="U546" i="1"/>
  <c r="T546" i="1"/>
  <c r="T546" i="1" a="1"/>
  <c r="S546" i="1"/>
  <c r="R546" i="1"/>
  <c r="V545" i="1"/>
  <c r="V545" i="1" a="1"/>
  <c r="U545" i="1"/>
  <c r="T545" i="1"/>
  <c r="T545" i="1" a="1"/>
  <c r="S545" i="1"/>
  <c r="R545" i="1"/>
  <c r="V544" i="1"/>
  <c r="V544" i="1" a="1"/>
  <c r="U544" i="1"/>
  <c r="T544" i="1"/>
  <c r="T544" i="1" a="1"/>
  <c r="S544" i="1"/>
  <c r="R544" i="1"/>
  <c r="V543" i="1"/>
  <c r="V543" i="1" a="1"/>
  <c r="U543" i="1"/>
  <c r="T543" i="1"/>
  <c r="T543" i="1" a="1"/>
  <c r="S543" i="1"/>
  <c r="R543" i="1"/>
  <c r="V542" i="1"/>
  <c r="V542" i="1" a="1"/>
  <c r="U542" i="1"/>
  <c r="T542" i="1"/>
  <c r="T542" i="1" a="1"/>
  <c r="S542" i="1"/>
  <c r="R542" i="1"/>
  <c r="V541" i="1"/>
  <c r="V541" i="1" a="1"/>
  <c r="U541" i="1"/>
  <c r="T541" i="1"/>
  <c r="T541" i="1" a="1"/>
  <c r="S541" i="1"/>
  <c r="R541" i="1"/>
  <c r="V540" i="1"/>
  <c r="V540" i="1" a="1"/>
  <c r="U540" i="1"/>
  <c r="T540" i="1"/>
  <c r="T540" i="1" a="1"/>
  <c r="S540" i="1"/>
  <c r="R540" i="1"/>
  <c r="V539" i="1"/>
  <c r="V539" i="1" a="1"/>
  <c r="U539" i="1"/>
  <c r="T539" i="1"/>
  <c r="T539" i="1" a="1"/>
  <c r="S539" i="1"/>
  <c r="R539" i="1"/>
  <c r="V538" i="1"/>
  <c r="V538" i="1" a="1"/>
  <c r="U538" i="1"/>
  <c r="T538" i="1"/>
  <c r="T538" i="1" a="1"/>
  <c r="S538" i="1"/>
  <c r="R538" i="1"/>
  <c r="V537" i="1"/>
  <c r="V537" i="1" a="1"/>
  <c r="U537" i="1"/>
  <c r="T537" i="1"/>
  <c r="T537" i="1" a="1"/>
  <c r="S537" i="1"/>
  <c r="R537" i="1"/>
  <c r="V536" i="1"/>
  <c r="V536" i="1" a="1"/>
  <c r="U536" i="1"/>
  <c r="T536" i="1"/>
  <c r="T536" i="1" a="1"/>
  <c r="S536" i="1"/>
  <c r="R536" i="1"/>
  <c r="V535" i="1"/>
  <c r="V535" i="1" a="1"/>
  <c r="U535" i="1"/>
  <c r="T535" i="1"/>
  <c r="T535" i="1" a="1"/>
  <c r="S535" i="1"/>
  <c r="R535" i="1"/>
  <c r="V534" i="1"/>
  <c r="V534" i="1" a="1"/>
  <c r="U534" i="1"/>
  <c r="T534" i="1"/>
  <c r="T534" i="1" a="1"/>
  <c r="S534" i="1"/>
  <c r="R534" i="1"/>
  <c r="V533" i="1"/>
  <c r="V533" i="1" a="1"/>
  <c r="U533" i="1"/>
  <c r="T533" i="1"/>
  <c r="T533" i="1" a="1"/>
  <c r="S533" i="1"/>
  <c r="R533" i="1"/>
  <c r="V532" i="1"/>
  <c r="V532" i="1" a="1"/>
  <c r="U532" i="1"/>
  <c r="T532" i="1"/>
  <c r="T532" i="1" a="1"/>
  <c r="S532" i="1"/>
  <c r="R532" i="1"/>
  <c r="V531" i="1"/>
  <c r="V531" i="1" a="1"/>
  <c r="U531" i="1"/>
  <c r="T531" i="1"/>
  <c r="T531" i="1" a="1"/>
  <c r="S531" i="1"/>
  <c r="R531" i="1"/>
  <c r="V530" i="1"/>
  <c r="V530" i="1" a="1"/>
  <c r="U530" i="1"/>
  <c r="T530" i="1"/>
  <c r="T530" i="1" a="1"/>
  <c r="S530" i="1"/>
  <c r="R530" i="1"/>
  <c r="V529" i="1"/>
  <c r="V529" i="1" a="1"/>
  <c r="U529" i="1"/>
  <c r="T529" i="1"/>
  <c r="T529" i="1" a="1"/>
  <c r="S529" i="1"/>
  <c r="R529" i="1"/>
  <c r="V528" i="1"/>
  <c r="V528" i="1" a="1"/>
  <c r="U528" i="1"/>
  <c r="T528" i="1"/>
  <c r="T528" i="1" a="1"/>
  <c r="S528" i="1"/>
  <c r="R528" i="1"/>
  <c r="V527" i="1"/>
  <c r="V527" i="1" a="1"/>
  <c r="U527" i="1"/>
  <c r="T527" i="1"/>
  <c r="T527" i="1" a="1"/>
  <c r="S527" i="1"/>
  <c r="R527" i="1"/>
  <c r="V526" i="1"/>
  <c r="V526" i="1" a="1"/>
  <c r="U526" i="1"/>
  <c r="T526" i="1"/>
  <c r="T526" i="1" a="1"/>
  <c r="S526" i="1"/>
  <c r="R526" i="1"/>
  <c r="V525" i="1"/>
  <c r="V525" i="1" a="1"/>
  <c r="U525" i="1"/>
  <c r="T525" i="1"/>
  <c r="T525" i="1" a="1"/>
  <c r="S525" i="1"/>
  <c r="R525" i="1"/>
  <c r="V524" i="1"/>
  <c r="V524" i="1" a="1"/>
  <c r="U524" i="1"/>
  <c r="T524" i="1"/>
  <c r="T524" i="1" a="1"/>
  <c r="S524" i="1"/>
  <c r="R524" i="1"/>
  <c r="V523" i="1"/>
  <c r="V523" i="1" a="1"/>
  <c r="U523" i="1"/>
  <c r="T523" i="1"/>
  <c r="T523" i="1" a="1"/>
  <c r="S523" i="1"/>
  <c r="R523" i="1"/>
  <c r="V522" i="1"/>
  <c r="V522" i="1" a="1"/>
  <c r="U522" i="1"/>
  <c r="T522" i="1"/>
  <c r="T522" i="1" a="1"/>
  <c r="S522" i="1"/>
  <c r="R522" i="1"/>
  <c r="V521" i="1"/>
  <c r="V521" i="1" a="1"/>
  <c r="U521" i="1"/>
  <c r="T521" i="1"/>
  <c r="T521" i="1" a="1"/>
  <c r="S521" i="1"/>
  <c r="R521" i="1"/>
  <c r="V520" i="1"/>
  <c r="V520" i="1" a="1"/>
  <c r="U520" i="1"/>
  <c r="T520" i="1"/>
  <c r="T520" i="1" a="1"/>
  <c r="S520" i="1"/>
  <c r="R520" i="1"/>
  <c r="V519" i="1"/>
  <c r="V519" i="1" a="1"/>
  <c r="U519" i="1"/>
  <c r="T519" i="1"/>
  <c r="T519" i="1" a="1"/>
  <c r="S519" i="1"/>
  <c r="R519" i="1"/>
  <c r="V518" i="1"/>
  <c r="V518" i="1" a="1"/>
  <c r="U518" i="1"/>
  <c r="T518" i="1"/>
  <c r="T518" i="1" a="1"/>
  <c r="S518" i="1"/>
  <c r="R518" i="1"/>
  <c r="V517" i="1"/>
  <c r="V517" i="1" a="1"/>
  <c r="U517" i="1"/>
  <c r="T517" i="1"/>
  <c r="T517" i="1" a="1"/>
  <c r="S517" i="1"/>
  <c r="R517" i="1"/>
  <c r="V516" i="1"/>
  <c r="V516" i="1" a="1"/>
  <c r="U516" i="1"/>
  <c r="T516" i="1"/>
  <c r="T516" i="1" a="1"/>
  <c r="S516" i="1"/>
  <c r="R516" i="1"/>
  <c r="V515" i="1"/>
  <c r="V515" i="1" a="1"/>
  <c r="U515" i="1"/>
  <c r="T515" i="1"/>
  <c r="T515" i="1" a="1"/>
  <c r="S515" i="1"/>
  <c r="R515" i="1"/>
  <c r="V514" i="1"/>
  <c r="V514" i="1" a="1"/>
  <c r="U514" i="1"/>
  <c r="T514" i="1"/>
  <c r="T514" i="1" a="1"/>
  <c r="S514" i="1"/>
  <c r="R514" i="1"/>
  <c r="V513" i="1"/>
  <c r="V513" i="1" a="1"/>
  <c r="U513" i="1"/>
  <c r="T513" i="1"/>
  <c r="T513" i="1" a="1"/>
  <c r="S513" i="1"/>
  <c r="R513" i="1"/>
  <c r="V512" i="1"/>
  <c r="V512" i="1" a="1"/>
  <c r="U512" i="1"/>
  <c r="T512" i="1"/>
  <c r="T512" i="1" a="1"/>
  <c r="S512" i="1"/>
  <c r="R512" i="1"/>
  <c r="V511" i="1"/>
  <c r="V511" i="1" a="1"/>
  <c r="U511" i="1"/>
  <c r="T511" i="1"/>
  <c r="T511" i="1" a="1"/>
  <c r="S511" i="1"/>
  <c r="R511" i="1"/>
  <c r="V510" i="1"/>
  <c r="V510" i="1" a="1"/>
  <c r="U510" i="1"/>
  <c r="T510" i="1"/>
  <c r="T510" i="1" a="1"/>
  <c r="S510" i="1"/>
  <c r="R510" i="1"/>
  <c r="V509" i="1"/>
  <c r="V509" i="1" a="1"/>
  <c r="U509" i="1"/>
  <c r="T509" i="1"/>
  <c r="T509" i="1" a="1"/>
  <c r="S509" i="1"/>
  <c r="R509" i="1"/>
  <c r="V508" i="1"/>
  <c r="V508" i="1" a="1"/>
  <c r="U508" i="1"/>
  <c r="T508" i="1"/>
  <c r="T508" i="1" a="1"/>
  <c r="S508" i="1"/>
  <c r="R508" i="1"/>
  <c r="V507" i="1"/>
  <c r="V507" i="1" a="1"/>
  <c r="U507" i="1"/>
  <c r="T507" i="1"/>
  <c r="T507" i="1" a="1"/>
  <c r="S507" i="1"/>
  <c r="R507" i="1"/>
  <c r="V506" i="1"/>
  <c r="V506" i="1" a="1"/>
  <c r="U506" i="1"/>
  <c r="T506" i="1"/>
  <c r="T506" i="1" a="1"/>
  <c r="S506" i="1"/>
  <c r="R506" i="1"/>
  <c r="V505" i="1"/>
  <c r="V505" i="1" a="1"/>
  <c r="U505" i="1"/>
  <c r="T505" i="1"/>
  <c r="T505" i="1" a="1"/>
  <c r="S505" i="1"/>
  <c r="R505" i="1"/>
  <c r="V504" i="1"/>
  <c r="V504" i="1" a="1"/>
  <c r="U504" i="1"/>
  <c r="T504" i="1"/>
  <c r="T504" i="1" a="1"/>
  <c r="S504" i="1"/>
  <c r="R504" i="1"/>
  <c r="V503" i="1"/>
  <c r="V503" i="1" a="1"/>
  <c r="U503" i="1"/>
  <c r="T503" i="1"/>
  <c r="T503" i="1" a="1"/>
  <c r="S503" i="1"/>
  <c r="R503" i="1"/>
  <c r="V502" i="1"/>
  <c r="V502" i="1" a="1"/>
  <c r="U502" i="1"/>
  <c r="T502" i="1"/>
  <c r="T502" i="1" a="1"/>
  <c r="S502" i="1"/>
  <c r="R502" i="1"/>
  <c r="V501" i="1"/>
  <c r="V501" i="1" a="1"/>
  <c r="U501" i="1"/>
  <c r="T501" i="1"/>
  <c r="T501" i="1" a="1"/>
  <c r="S501" i="1"/>
  <c r="R501" i="1"/>
  <c r="V500" i="1"/>
  <c r="V500" i="1" a="1"/>
  <c r="U500" i="1"/>
  <c r="T500" i="1"/>
  <c r="T500" i="1" a="1"/>
  <c r="S500" i="1"/>
  <c r="R500" i="1"/>
  <c r="V499" i="1"/>
  <c r="V499" i="1" a="1"/>
  <c r="U499" i="1"/>
  <c r="T499" i="1"/>
  <c r="T499" i="1" a="1"/>
  <c r="S499" i="1"/>
  <c r="R499" i="1"/>
  <c r="V498" i="1"/>
  <c r="V498" i="1" a="1"/>
  <c r="U498" i="1"/>
  <c r="T498" i="1"/>
  <c r="T498" i="1" a="1"/>
  <c r="S498" i="1"/>
  <c r="R498" i="1"/>
  <c r="V497" i="1"/>
  <c r="V497" i="1" a="1"/>
  <c r="U497" i="1"/>
  <c r="T497" i="1"/>
  <c r="T497" i="1" a="1"/>
  <c r="S497" i="1"/>
  <c r="R497" i="1"/>
  <c r="V496" i="1"/>
  <c r="V496" i="1" a="1"/>
  <c r="U496" i="1"/>
  <c r="T496" i="1"/>
  <c r="T496" i="1" a="1"/>
  <c r="S496" i="1"/>
  <c r="R496" i="1"/>
  <c r="V495" i="1"/>
  <c r="V495" i="1" a="1"/>
  <c r="U495" i="1"/>
  <c r="T495" i="1"/>
  <c r="T495" i="1" a="1"/>
  <c r="S495" i="1"/>
  <c r="R495" i="1"/>
  <c r="V494" i="1"/>
  <c r="V494" i="1" a="1"/>
  <c r="U494" i="1"/>
  <c r="T494" i="1"/>
  <c r="T494" i="1" a="1"/>
  <c r="S494" i="1"/>
  <c r="R494" i="1"/>
  <c r="V493" i="1"/>
  <c r="V493" i="1" a="1"/>
  <c r="U493" i="1"/>
  <c r="T493" i="1"/>
  <c r="T493" i="1" a="1"/>
  <c r="S493" i="1"/>
  <c r="R493" i="1"/>
  <c r="V492" i="1"/>
  <c r="V492" i="1" a="1"/>
  <c r="U492" i="1"/>
  <c r="T492" i="1"/>
  <c r="T492" i="1" a="1"/>
  <c r="S492" i="1"/>
  <c r="R492" i="1"/>
  <c r="V491" i="1"/>
  <c r="V491" i="1" a="1"/>
  <c r="U491" i="1"/>
  <c r="T491" i="1"/>
  <c r="T491" i="1" a="1"/>
  <c r="S491" i="1"/>
  <c r="R491" i="1"/>
  <c r="V490" i="1"/>
  <c r="V490" i="1" a="1"/>
  <c r="U490" i="1"/>
  <c r="T490" i="1"/>
  <c r="T490" i="1" a="1"/>
  <c r="S490" i="1"/>
  <c r="R490" i="1"/>
  <c r="V489" i="1"/>
  <c r="V489" i="1" a="1"/>
  <c r="U489" i="1"/>
  <c r="T489" i="1"/>
  <c r="T489" i="1" a="1"/>
  <c r="S489" i="1"/>
  <c r="R489" i="1"/>
  <c r="V488" i="1"/>
  <c r="V488" i="1" a="1"/>
  <c r="U488" i="1"/>
  <c r="T488" i="1"/>
  <c r="T488" i="1" a="1"/>
  <c r="S488" i="1"/>
  <c r="R488" i="1"/>
  <c r="V487" i="1"/>
  <c r="V487" i="1" a="1"/>
  <c r="U487" i="1"/>
  <c r="T487" i="1"/>
  <c r="T487" i="1" a="1"/>
  <c r="S487" i="1"/>
  <c r="R487" i="1"/>
  <c r="V486" i="1"/>
  <c r="V486" i="1" a="1"/>
  <c r="U486" i="1"/>
  <c r="T486" i="1"/>
  <c r="T486" i="1" a="1"/>
  <c r="S486" i="1"/>
  <c r="R486" i="1"/>
  <c r="V485" i="1"/>
  <c r="V485" i="1" a="1"/>
  <c r="U485" i="1"/>
  <c r="T485" i="1"/>
  <c r="T485" i="1" a="1"/>
  <c r="S485" i="1"/>
  <c r="R485" i="1"/>
  <c r="V484" i="1"/>
  <c r="V484" i="1" a="1"/>
  <c r="U484" i="1"/>
  <c r="T484" i="1"/>
  <c r="T484" i="1" a="1"/>
  <c r="S484" i="1"/>
  <c r="R484" i="1"/>
  <c r="V483" i="1"/>
  <c r="V483" i="1" a="1"/>
  <c r="U483" i="1"/>
  <c r="T483" i="1"/>
  <c r="T483" i="1" a="1"/>
  <c r="S483" i="1"/>
  <c r="R483" i="1"/>
  <c r="V482" i="1"/>
  <c r="V482" i="1" a="1"/>
  <c r="U482" i="1"/>
  <c r="T482" i="1"/>
  <c r="T482" i="1" a="1"/>
  <c r="S482" i="1"/>
  <c r="R482" i="1"/>
  <c r="V481" i="1"/>
  <c r="V481" i="1" a="1"/>
  <c r="U481" i="1"/>
  <c r="T481" i="1"/>
  <c r="T481" i="1" a="1"/>
  <c r="S481" i="1"/>
  <c r="R481" i="1"/>
  <c r="V480" i="1"/>
  <c r="V480" i="1" a="1"/>
  <c r="U480" i="1"/>
  <c r="T480" i="1"/>
  <c r="T480" i="1" a="1"/>
  <c r="S480" i="1"/>
  <c r="R480" i="1"/>
  <c r="V479" i="1"/>
  <c r="V479" i="1" a="1"/>
  <c r="U479" i="1"/>
  <c r="T479" i="1"/>
  <c r="T479" i="1" a="1"/>
  <c r="S479" i="1"/>
  <c r="R479" i="1"/>
  <c r="V478" i="1"/>
  <c r="V478" i="1" a="1"/>
  <c r="U478" i="1"/>
  <c r="T478" i="1"/>
  <c r="T478" i="1" a="1"/>
  <c r="S478" i="1"/>
  <c r="R478" i="1"/>
  <c r="V477" i="1"/>
  <c r="V477" i="1" a="1"/>
  <c r="U477" i="1"/>
  <c r="T477" i="1"/>
  <c r="T477" i="1" a="1"/>
  <c r="S477" i="1"/>
  <c r="R477" i="1"/>
  <c r="V476" i="1"/>
  <c r="V476" i="1" a="1"/>
  <c r="U476" i="1"/>
  <c r="T476" i="1"/>
  <c r="T476" i="1" a="1"/>
  <c r="S476" i="1"/>
  <c r="R476" i="1"/>
  <c r="V475" i="1"/>
  <c r="V475" i="1" a="1"/>
  <c r="U475" i="1"/>
  <c r="T475" i="1"/>
  <c r="T475" i="1" a="1"/>
  <c r="S475" i="1"/>
  <c r="R475" i="1"/>
  <c r="V474" i="1"/>
  <c r="V474" i="1" a="1"/>
  <c r="U474" i="1"/>
  <c r="T474" i="1"/>
  <c r="T474" i="1" a="1"/>
  <c r="S474" i="1"/>
  <c r="R474" i="1"/>
  <c r="V473" i="1"/>
  <c r="V473" i="1" a="1"/>
  <c r="U473" i="1"/>
  <c r="T473" i="1"/>
  <c r="T473" i="1" a="1"/>
  <c r="S473" i="1"/>
  <c r="R473" i="1"/>
  <c r="V472" i="1"/>
  <c r="V472" i="1" a="1"/>
  <c r="U472" i="1"/>
  <c r="T472" i="1"/>
  <c r="T472" i="1" a="1"/>
  <c r="S472" i="1"/>
  <c r="R472" i="1"/>
  <c r="V471" i="1"/>
  <c r="V471" i="1" a="1"/>
  <c r="U471" i="1"/>
  <c r="T471" i="1"/>
  <c r="T471" i="1" a="1"/>
  <c r="S471" i="1"/>
  <c r="R471" i="1"/>
  <c r="V470" i="1"/>
  <c r="V470" i="1" a="1"/>
  <c r="U470" i="1"/>
  <c r="T470" i="1"/>
  <c r="T470" i="1" a="1"/>
  <c r="S470" i="1"/>
  <c r="R470" i="1"/>
  <c r="V469" i="1"/>
  <c r="V469" i="1" a="1"/>
  <c r="U469" i="1"/>
  <c r="T469" i="1"/>
  <c r="T469" i="1" a="1"/>
  <c r="S469" i="1"/>
  <c r="R469" i="1"/>
  <c r="V468" i="1"/>
  <c r="V468" i="1" a="1"/>
  <c r="U468" i="1"/>
  <c r="T468" i="1"/>
  <c r="T468" i="1" a="1"/>
  <c r="S468" i="1"/>
  <c r="R468" i="1"/>
  <c r="V467" i="1"/>
  <c r="V467" i="1" a="1"/>
  <c r="U467" i="1"/>
  <c r="T467" i="1"/>
  <c r="T467" i="1" a="1"/>
  <c r="S467" i="1"/>
  <c r="R467" i="1"/>
  <c r="V466" i="1"/>
  <c r="V466" i="1" a="1"/>
  <c r="U466" i="1"/>
  <c r="T466" i="1"/>
  <c r="T466" i="1" a="1"/>
  <c r="S466" i="1"/>
  <c r="R466" i="1"/>
  <c r="V465" i="1"/>
  <c r="V465" i="1" a="1"/>
  <c r="U465" i="1"/>
  <c r="T465" i="1"/>
  <c r="T465" i="1" a="1"/>
  <c r="S465" i="1"/>
  <c r="R465" i="1"/>
  <c r="V464" i="1"/>
  <c r="V464" i="1" a="1"/>
  <c r="U464" i="1"/>
  <c r="T464" i="1"/>
  <c r="T464" i="1" a="1"/>
  <c r="S464" i="1"/>
  <c r="R464" i="1"/>
  <c r="V463" i="1"/>
  <c r="V463" i="1" a="1"/>
  <c r="U463" i="1"/>
  <c r="T463" i="1"/>
  <c r="T463" i="1" a="1"/>
  <c r="S463" i="1"/>
  <c r="R463" i="1"/>
  <c r="V462" i="1"/>
  <c r="V462" i="1" a="1"/>
  <c r="U462" i="1"/>
  <c r="T462" i="1"/>
  <c r="T462" i="1" a="1"/>
  <c r="S462" i="1"/>
  <c r="R462" i="1"/>
  <c r="V461" i="1"/>
  <c r="V461" i="1" a="1"/>
  <c r="U461" i="1"/>
  <c r="T461" i="1"/>
  <c r="T461" i="1" a="1"/>
  <c r="S461" i="1"/>
  <c r="R461" i="1"/>
  <c r="V460" i="1"/>
  <c r="V460" i="1" a="1"/>
  <c r="U460" i="1"/>
  <c r="T460" i="1"/>
  <c r="T460" i="1" a="1"/>
  <c r="S460" i="1"/>
  <c r="R460" i="1"/>
  <c r="V459" i="1"/>
  <c r="V459" i="1" a="1"/>
  <c r="U459" i="1"/>
  <c r="T459" i="1"/>
  <c r="T459" i="1" a="1"/>
  <c r="S459" i="1"/>
  <c r="R459" i="1"/>
  <c r="V458" i="1"/>
  <c r="V458" i="1" a="1"/>
  <c r="U458" i="1"/>
  <c r="T458" i="1"/>
  <c r="T458" i="1" a="1"/>
  <c r="S458" i="1"/>
  <c r="R458" i="1"/>
  <c r="V457" i="1"/>
  <c r="V457" i="1" a="1"/>
  <c r="U457" i="1"/>
  <c r="T457" i="1"/>
  <c r="T457" i="1" a="1"/>
  <c r="S457" i="1"/>
  <c r="R457" i="1"/>
  <c r="V456" i="1"/>
  <c r="V456" i="1" a="1"/>
  <c r="U456" i="1"/>
  <c r="T456" i="1"/>
  <c r="T456" i="1" a="1"/>
  <c r="S456" i="1"/>
  <c r="R456" i="1"/>
  <c r="V455" i="1"/>
  <c r="V455" i="1" a="1"/>
  <c r="U455" i="1"/>
  <c r="T455" i="1"/>
  <c r="T455" i="1" a="1"/>
  <c r="S455" i="1"/>
  <c r="R455" i="1"/>
  <c r="V454" i="1"/>
  <c r="V454" i="1" a="1"/>
  <c r="U454" i="1"/>
  <c r="T454" i="1"/>
  <c r="T454" i="1" a="1"/>
  <c r="S454" i="1"/>
  <c r="R454" i="1"/>
  <c r="V453" i="1"/>
  <c r="V453" i="1" a="1"/>
  <c r="U453" i="1"/>
  <c r="T453" i="1"/>
  <c r="T453" i="1" a="1"/>
  <c r="S453" i="1"/>
  <c r="R453" i="1"/>
  <c r="V452" i="1"/>
  <c r="V452" i="1" a="1"/>
  <c r="U452" i="1"/>
  <c r="T452" i="1"/>
  <c r="T452" i="1" a="1"/>
  <c r="S452" i="1"/>
  <c r="R452" i="1"/>
  <c r="V451" i="1"/>
  <c r="V451" i="1" a="1"/>
  <c r="U451" i="1"/>
  <c r="T451" i="1"/>
  <c r="T451" i="1" a="1"/>
  <c r="S451" i="1"/>
  <c r="R451" i="1"/>
  <c r="V450" i="1"/>
  <c r="V450" i="1" a="1"/>
  <c r="U450" i="1"/>
  <c r="T450" i="1"/>
  <c r="T450" i="1" a="1"/>
  <c r="S450" i="1"/>
  <c r="R450" i="1"/>
  <c r="V449" i="1"/>
  <c r="V449" i="1" a="1"/>
  <c r="U449" i="1"/>
  <c r="T449" i="1"/>
  <c r="T449" i="1" a="1"/>
  <c r="S449" i="1"/>
  <c r="R449" i="1"/>
  <c r="V448" i="1"/>
  <c r="V448" i="1" a="1"/>
  <c r="U448" i="1"/>
  <c r="T448" i="1"/>
  <c r="T448" i="1" a="1"/>
  <c r="S448" i="1"/>
  <c r="R448" i="1"/>
  <c r="V447" i="1"/>
  <c r="V447" i="1" a="1"/>
  <c r="U447" i="1"/>
  <c r="T447" i="1"/>
  <c r="T447" i="1" a="1"/>
  <c r="S447" i="1"/>
  <c r="R447" i="1"/>
  <c r="V446" i="1"/>
  <c r="V446" i="1" a="1"/>
  <c r="U446" i="1"/>
  <c r="T446" i="1"/>
  <c r="T446" i="1" a="1"/>
  <c r="S446" i="1"/>
  <c r="R446" i="1"/>
  <c r="V445" i="1"/>
  <c r="V445" i="1" a="1"/>
  <c r="U445" i="1"/>
  <c r="T445" i="1"/>
  <c r="T445" i="1" a="1"/>
  <c r="S445" i="1"/>
  <c r="R445" i="1"/>
  <c r="V444" i="1"/>
  <c r="V444" i="1" a="1"/>
  <c r="U444" i="1"/>
  <c r="T444" i="1"/>
  <c r="T444" i="1" a="1"/>
  <c r="S444" i="1"/>
  <c r="R444" i="1"/>
  <c r="V443" i="1"/>
  <c r="V443" i="1" a="1"/>
  <c r="U443" i="1"/>
  <c r="T443" i="1"/>
  <c r="T443" i="1" a="1"/>
  <c r="S443" i="1"/>
  <c r="R443" i="1"/>
  <c r="V442" i="1"/>
  <c r="V442" i="1" a="1"/>
  <c r="U442" i="1"/>
  <c r="T442" i="1"/>
  <c r="T442" i="1" a="1"/>
  <c r="S442" i="1"/>
  <c r="R442" i="1"/>
  <c r="V441" i="1"/>
  <c r="V441" i="1" a="1"/>
  <c r="U441" i="1"/>
  <c r="T441" i="1"/>
  <c r="T441" i="1" a="1"/>
  <c r="S441" i="1"/>
  <c r="R441" i="1"/>
  <c r="V440" i="1"/>
  <c r="V440" i="1" a="1"/>
  <c r="U440" i="1"/>
  <c r="T440" i="1"/>
  <c r="T440" i="1" a="1"/>
  <c r="S440" i="1"/>
  <c r="R440" i="1"/>
  <c r="V439" i="1"/>
  <c r="V439" i="1" a="1"/>
  <c r="U439" i="1"/>
  <c r="T439" i="1"/>
  <c r="T439" i="1" a="1"/>
  <c r="S439" i="1"/>
  <c r="R439" i="1"/>
  <c r="V438" i="1"/>
  <c r="V438" i="1" a="1"/>
  <c r="U438" i="1"/>
  <c r="T438" i="1"/>
  <c r="T438" i="1" a="1"/>
  <c r="S438" i="1"/>
  <c r="R438" i="1"/>
  <c r="V437" i="1"/>
  <c r="V437" i="1" a="1"/>
  <c r="U437" i="1"/>
  <c r="T437" i="1"/>
  <c r="T437" i="1" a="1"/>
  <c r="S437" i="1"/>
  <c r="R437" i="1"/>
  <c r="V436" i="1"/>
  <c r="V436" i="1" a="1"/>
  <c r="U436" i="1"/>
  <c r="T436" i="1"/>
  <c r="T436" i="1" a="1"/>
  <c r="S436" i="1"/>
  <c r="R436" i="1"/>
  <c r="V435" i="1"/>
  <c r="V435" i="1" a="1"/>
  <c r="U435" i="1"/>
  <c r="T435" i="1"/>
  <c r="T435" i="1" a="1"/>
  <c r="S435" i="1"/>
  <c r="R435" i="1"/>
  <c r="V434" i="1"/>
  <c r="V434" i="1" a="1"/>
  <c r="U434" i="1"/>
  <c r="T434" i="1"/>
  <c r="T434" i="1" a="1"/>
  <c r="S434" i="1"/>
  <c r="R434" i="1"/>
  <c r="V433" i="1"/>
  <c r="V433" i="1" a="1"/>
  <c r="U433" i="1"/>
  <c r="T433" i="1"/>
  <c r="T433" i="1" a="1"/>
  <c r="S433" i="1"/>
  <c r="R433" i="1"/>
  <c r="V432" i="1"/>
  <c r="V432" i="1" a="1"/>
  <c r="U432" i="1"/>
  <c r="T432" i="1"/>
  <c r="T432" i="1" a="1"/>
  <c r="S432" i="1"/>
  <c r="R432" i="1"/>
  <c r="V431" i="1"/>
  <c r="V431" i="1" a="1"/>
  <c r="U431" i="1"/>
  <c r="T431" i="1"/>
  <c r="T431" i="1" a="1"/>
  <c r="S431" i="1"/>
  <c r="R431" i="1"/>
  <c r="V430" i="1"/>
  <c r="V430" i="1" a="1"/>
  <c r="U430" i="1"/>
  <c r="T430" i="1"/>
  <c r="T430" i="1" a="1"/>
  <c r="S430" i="1"/>
  <c r="R430" i="1"/>
  <c r="V429" i="1"/>
  <c r="V429" i="1" a="1"/>
  <c r="U429" i="1"/>
  <c r="T429" i="1"/>
  <c r="T429" i="1" a="1"/>
  <c r="S429" i="1"/>
  <c r="R429" i="1"/>
  <c r="V428" i="1"/>
  <c r="V428" i="1" a="1"/>
  <c r="U428" i="1"/>
  <c r="T428" i="1"/>
  <c r="T428" i="1" a="1"/>
  <c r="S428" i="1"/>
  <c r="R428" i="1"/>
  <c r="V427" i="1"/>
  <c r="V427" i="1" a="1"/>
  <c r="U427" i="1"/>
  <c r="T427" i="1"/>
  <c r="T427" i="1" a="1"/>
  <c r="S427" i="1"/>
  <c r="R427" i="1"/>
  <c r="V426" i="1"/>
  <c r="V426" i="1" a="1"/>
  <c r="U426" i="1"/>
  <c r="T426" i="1"/>
  <c r="T426" i="1" a="1"/>
  <c r="S426" i="1"/>
  <c r="R426" i="1"/>
  <c r="V425" i="1"/>
  <c r="V425" i="1" a="1"/>
  <c r="U425" i="1"/>
  <c r="T425" i="1"/>
  <c r="T425" i="1" a="1"/>
  <c r="S425" i="1"/>
  <c r="R425" i="1"/>
  <c r="V424" i="1"/>
  <c r="V424" i="1" a="1"/>
  <c r="U424" i="1"/>
  <c r="T424" i="1"/>
  <c r="T424" i="1" a="1"/>
  <c r="S424" i="1"/>
  <c r="R424" i="1"/>
  <c r="V423" i="1"/>
  <c r="V423" i="1" a="1"/>
  <c r="U423" i="1"/>
  <c r="T423" i="1"/>
  <c r="T423" i="1" a="1"/>
  <c r="S423" i="1"/>
  <c r="R423" i="1"/>
  <c r="V422" i="1"/>
  <c r="V422" i="1" a="1"/>
  <c r="U422" i="1"/>
  <c r="T422" i="1"/>
  <c r="T422" i="1" a="1"/>
  <c r="S422" i="1"/>
  <c r="R422" i="1"/>
  <c r="V421" i="1"/>
  <c r="V421" i="1" a="1"/>
  <c r="U421" i="1"/>
  <c r="T421" i="1"/>
  <c r="T421" i="1" a="1"/>
  <c r="S421" i="1"/>
  <c r="R421" i="1"/>
  <c r="V420" i="1"/>
  <c r="V420" i="1" a="1"/>
  <c r="U420" i="1"/>
  <c r="T420" i="1"/>
  <c r="T420" i="1" a="1"/>
  <c r="S420" i="1"/>
  <c r="R420" i="1"/>
  <c r="V419" i="1"/>
  <c r="V419" i="1" a="1"/>
  <c r="U419" i="1"/>
  <c r="T419" i="1"/>
  <c r="T419" i="1" a="1"/>
  <c r="S419" i="1"/>
  <c r="R419" i="1"/>
  <c r="V418" i="1"/>
  <c r="V418" i="1" a="1"/>
  <c r="U418" i="1"/>
  <c r="T418" i="1"/>
  <c r="T418" i="1" a="1"/>
  <c r="S418" i="1"/>
  <c r="R418" i="1"/>
  <c r="V417" i="1"/>
  <c r="V417" i="1" a="1"/>
  <c r="U417" i="1"/>
  <c r="T417" i="1"/>
  <c r="T417" i="1" a="1"/>
  <c r="S417" i="1"/>
  <c r="R417" i="1"/>
  <c r="V416" i="1"/>
  <c r="V416" i="1" a="1"/>
  <c r="U416" i="1"/>
  <c r="T416" i="1"/>
  <c r="T416" i="1" a="1"/>
  <c r="S416" i="1"/>
  <c r="R416" i="1"/>
  <c r="V415" i="1"/>
  <c r="V415" i="1" a="1"/>
  <c r="U415" i="1"/>
  <c r="T415" i="1"/>
  <c r="T415" i="1" a="1"/>
  <c r="S415" i="1"/>
  <c r="R415" i="1"/>
  <c r="V414" i="1"/>
  <c r="V414" i="1" a="1"/>
  <c r="U414" i="1"/>
  <c r="T414" i="1"/>
  <c r="T414" i="1" a="1"/>
  <c r="S414" i="1"/>
  <c r="R414" i="1"/>
  <c r="V413" i="1"/>
  <c r="V413" i="1" a="1"/>
  <c r="U413" i="1"/>
  <c r="T413" i="1"/>
  <c r="T413" i="1" a="1"/>
  <c r="S413" i="1"/>
  <c r="R413" i="1"/>
  <c r="V412" i="1"/>
  <c r="V412" i="1" a="1"/>
  <c r="U412" i="1"/>
  <c r="T412" i="1"/>
  <c r="T412" i="1" a="1"/>
  <c r="S412" i="1"/>
  <c r="R412" i="1"/>
  <c r="V411" i="1"/>
  <c r="V411" i="1" a="1"/>
  <c r="U411" i="1"/>
  <c r="T411" i="1"/>
  <c r="T411" i="1" a="1"/>
  <c r="S411" i="1"/>
  <c r="R411" i="1"/>
  <c r="V410" i="1"/>
  <c r="V410" i="1" a="1"/>
  <c r="U410" i="1"/>
  <c r="T410" i="1"/>
  <c r="T410" i="1" a="1"/>
  <c r="S410" i="1"/>
  <c r="R410" i="1"/>
  <c r="V409" i="1"/>
  <c r="V409" i="1" a="1"/>
  <c r="U409" i="1"/>
  <c r="T409" i="1"/>
  <c r="T409" i="1" a="1"/>
  <c r="S409" i="1"/>
  <c r="R409" i="1"/>
  <c r="V408" i="1"/>
  <c r="V408" i="1" a="1"/>
  <c r="U408" i="1"/>
  <c r="T408" i="1"/>
  <c r="T408" i="1" a="1"/>
  <c r="S408" i="1"/>
  <c r="R408" i="1"/>
  <c r="V407" i="1"/>
  <c r="V407" i="1" a="1"/>
  <c r="U407" i="1"/>
  <c r="T407" i="1"/>
  <c r="T407" i="1" a="1"/>
  <c r="S407" i="1"/>
  <c r="R407" i="1"/>
  <c r="V406" i="1"/>
  <c r="V406" i="1" a="1"/>
  <c r="U406" i="1"/>
  <c r="T406" i="1"/>
  <c r="T406" i="1" a="1"/>
  <c r="S406" i="1"/>
  <c r="R406" i="1"/>
  <c r="V405" i="1"/>
  <c r="V405" i="1" a="1"/>
  <c r="U405" i="1"/>
  <c r="T405" i="1"/>
  <c r="T405" i="1" a="1"/>
  <c r="S405" i="1"/>
  <c r="R405" i="1"/>
  <c r="V404" i="1"/>
  <c r="V404" i="1" a="1"/>
  <c r="U404" i="1"/>
  <c r="T404" i="1"/>
  <c r="T404" i="1" a="1"/>
  <c r="S404" i="1"/>
  <c r="R404" i="1"/>
  <c r="V403" i="1"/>
  <c r="V403" i="1" a="1"/>
  <c r="U403" i="1"/>
  <c r="T403" i="1"/>
  <c r="T403" i="1" a="1"/>
  <c r="S403" i="1"/>
  <c r="R403" i="1"/>
  <c r="V402" i="1"/>
  <c r="V402" i="1" a="1"/>
  <c r="U402" i="1"/>
  <c r="T402" i="1"/>
  <c r="T402" i="1" a="1"/>
  <c r="S402" i="1"/>
  <c r="R402" i="1"/>
  <c r="V401" i="1"/>
  <c r="V401" i="1" a="1"/>
  <c r="U401" i="1"/>
  <c r="T401" i="1"/>
  <c r="T401" i="1" a="1"/>
  <c r="S401" i="1"/>
  <c r="R401" i="1"/>
  <c r="V400" i="1"/>
  <c r="V400" i="1" a="1"/>
  <c r="U400" i="1"/>
  <c r="T400" i="1"/>
  <c r="T400" i="1" a="1"/>
  <c r="S400" i="1"/>
  <c r="R400" i="1"/>
  <c r="V399" i="1"/>
  <c r="V399" i="1" a="1"/>
  <c r="U399" i="1"/>
  <c r="T399" i="1"/>
  <c r="T399" i="1" a="1"/>
  <c r="S399" i="1"/>
  <c r="R399" i="1"/>
  <c r="V398" i="1"/>
  <c r="V398" i="1" a="1"/>
  <c r="U398" i="1"/>
  <c r="T398" i="1"/>
  <c r="T398" i="1" a="1"/>
  <c r="S398" i="1"/>
  <c r="R398" i="1"/>
  <c r="V397" i="1"/>
  <c r="V397" i="1" a="1"/>
  <c r="U397" i="1"/>
  <c r="T397" i="1"/>
  <c r="T397" i="1" a="1"/>
  <c r="S397" i="1"/>
  <c r="R397" i="1"/>
  <c r="V396" i="1"/>
  <c r="V396" i="1" a="1"/>
  <c r="U396" i="1"/>
  <c r="T396" i="1"/>
  <c r="T396" i="1" a="1"/>
  <c r="S396" i="1"/>
  <c r="R396" i="1"/>
  <c r="V395" i="1"/>
  <c r="V395" i="1" a="1"/>
  <c r="U395" i="1"/>
  <c r="T395" i="1"/>
  <c r="T395" i="1" a="1"/>
  <c r="S395" i="1"/>
  <c r="R395" i="1"/>
  <c r="V394" i="1"/>
  <c r="V394" i="1" a="1"/>
  <c r="U394" i="1"/>
  <c r="T394" i="1"/>
  <c r="T394" i="1" a="1"/>
  <c r="S394" i="1"/>
  <c r="R394" i="1"/>
  <c r="V393" i="1"/>
  <c r="V393" i="1" a="1"/>
  <c r="U393" i="1"/>
  <c r="T393" i="1"/>
  <c r="T393" i="1" a="1"/>
  <c r="S393" i="1"/>
  <c r="R393" i="1"/>
  <c r="V392" i="1"/>
  <c r="V392" i="1" a="1"/>
  <c r="U392" i="1"/>
  <c r="T392" i="1"/>
  <c r="T392" i="1" a="1"/>
  <c r="S392" i="1"/>
  <c r="R392" i="1"/>
  <c r="V391" i="1"/>
  <c r="V391" i="1" a="1"/>
  <c r="U391" i="1"/>
  <c r="T391" i="1"/>
  <c r="T391" i="1" a="1"/>
  <c r="S391" i="1"/>
  <c r="R391" i="1"/>
  <c r="V390" i="1"/>
  <c r="V390" i="1" a="1"/>
  <c r="U390" i="1"/>
  <c r="T390" i="1"/>
  <c r="T390" i="1" a="1"/>
  <c r="S390" i="1"/>
  <c r="R390" i="1"/>
  <c r="V389" i="1"/>
  <c r="V389" i="1" a="1"/>
  <c r="U389" i="1"/>
  <c r="T389" i="1"/>
  <c r="T389" i="1" a="1"/>
  <c r="S389" i="1"/>
  <c r="R389" i="1"/>
  <c r="V388" i="1"/>
  <c r="V388" i="1" a="1"/>
  <c r="U388" i="1"/>
  <c r="T388" i="1"/>
  <c r="T388" i="1" a="1"/>
  <c r="S388" i="1"/>
  <c r="R388" i="1"/>
  <c r="V387" i="1"/>
  <c r="V387" i="1" a="1"/>
  <c r="U387" i="1"/>
  <c r="T387" i="1"/>
  <c r="T387" i="1" a="1"/>
  <c r="S387" i="1"/>
  <c r="R387" i="1"/>
  <c r="V386" i="1"/>
  <c r="V386" i="1" a="1"/>
  <c r="U386" i="1"/>
  <c r="T386" i="1"/>
  <c r="T386" i="1" a="1"/>
  <c r="S386" i="1"/>
  <c r="R386" i="1"/>
  <c r="V385" i="1"/>
  <c r="V385" i="1" a="1"/>
  <c r="U385" i="1"/>
  <c r="T385" i="1"/>
  <c r="T385" i="1" a="1"/>
  <c r="S385" i="1"/>
  <c r="R385" i="1"/>
  <c r="V384" i="1"/>
  <c r="V384" i="1" a="1"/>
  <c r="U384" i="1"/>
  <c r="T384" i="1"/>
  <c r="T384" i="1" a="1"/>
  <c r="S384" i="1"/>
  <c r="R384" i="1"/>
  <c r="V383" i="1"/>
  <c r="V383" i="1" a="1"/>
  <c r="U383" i="1"/>
  <c r="T383" i="1"/>
  <c r="T383" i="1" a="1"/>
  <c r="S383" i="1"/>
  <c r="R383" i="1"/>
  <c r="V382" i="1"/>
  <c r="V382" i="1" a="1"/>
  <c r="U382" i="1"/>
  <c r="T382" i="1"/>
  <c r="T382" i="1" a="1"/>
  <c r="S382" i="1"/>
  <c r="R382" i="1"/>
  <c r="V381" i="1"/>
  <c r="V381" i="1" a="1"/>
  <c r="U381" i="1"/>
  <c r="T381" i="1"/>
  <c r="T381" i="1" a="1"/>
  <c r="S381" i="1"/>
  <c r="R381" i="1"/>
  <c r="V380" i="1"/>
  <c r="V380" i="1" a="1"/>
  <c r="U380" i="1"/>
  <c r="T380" i="1"/>
  <c r="T380" i="1" a="1"/>
  <c r="S380" i="1"/>
  <c r="R380" i="1"/>
  <c r="V379" i="1"/>
  <c r="V379" i="1" a="1"/>
  <c r="U379" i="1"/>
  <c r="T379" i="1"/>
  <c r="T379" i="1" a="1"/>
  <c r="S379" i="1"/>
  <c r="R379" i="1"/>
  <c r="V378" i="1"/>
  <c r="V378" i="1" a="1"/>
  <c r="U378" i="1"/>
  <c r="T378" i="1"/>
  <c r="T378" i="1" a="1"/>
  <c r="S378" i="1"/>
  <c r="R378" i="1"/>
  <c r="V377" i="1"/>
  <c r="V377" i="1" a="1"/>
  <c r="U377" i="1"/>
  <c r="T377" i="1"/>
  <c r="T377" i="1" a="1"/>
  <c r="S377" i="1"/>
  <c r="R377" i="1"/>
  <c r="V376" i="1"/>
  <c r="V376" i="1" a="1"/>
  <c r="U376" i="1"/>
  <c r="T376" i="1"/>
  <c r="T376" i="1" a="1"/>
  <c r="S376" i="1"/>
  <c r="R376" i="1"/>
  <c r="V375" i="1"/>
  <c r="V375" i="1" a="1"/>
  <c r="U375" i="1"/>
  <c r="T375" i="1"/>
  <c r="T375" i="1" a="1"/>
  <c r="S375" i="1"/>
  <c r="R375" i="1"/>
  <c r="V374" i="1"/>
  <c r="V374" i="1" a="1"/>
  <c r="U374" i="1"/>
  <c r="T374" i="1"/>
  <c r="T374" i="1" a="1"/>
  <c r="S374" i="1"/>
  <c r="R374" i="1"/>
  <c r="V373" i="1"/>
  <c r="V373" i="1" a="1"/>
  <c r="U373" i="1"/>
  <c r="T373" i="1"/>
  <c r="T373" i="1" a="1"/>
  <c r="S373" i="1"/>
  <c r="R373" i="1"/>
  <c r="V372" i="1"/>
  <c r="V372" i="1" a="1"/>
  <c r="U372" i="1"/>
  <c r="T372" i="1"/>
  <c r="T372" i="1" a="1"/>
  <c r="S372" i="1"/>
  <c r="R372" i="1"/>
  <c r="V371" i="1"/>
  <c r="V371" i="1" a="1"/>
  <c r="U371" i="1"/>
  <c r="T371" i="1"/>
  <c r="T371" i="1" a="1"/>
  <c r="S371" i="1"/>
  <c r="R371" i="1"/>
  <c r="V370" i="1"/>
  <c r="V370" i="1" a="1"/>
  <c r="U370" i="1"/>
  <c r="T370" i="1"/>
  <c r="T370" i="1" a="1"/>
  <c r="S370" i="1"/>
  <c r="R370" i="1"/>
  <c r="V369" i="1"/>
  <c r="V369" i="1" a="1"/>
  <c r="U369" i="1"/>
  <c r="T369" i="1"/>
  <c r="T369" i="1" a="1"/>
  <c r="S369" i="1"/>
  <c r="R369" i="1"/>
  <c r="V368" i="1"/>
  <c r="V368" i="1" a="1"/>
  <c r="U368" i="1"/>
  <c r="T368" i="1"/>
  <c r="T368" i="1" a="1"/>
  <c r="S368" i="1"/>
  <c r="R368" i="1"/>
  <c r="V367" i="1"/>
  <c r="V367" i="1" a="1"/>
  <c r="U367" i="1"/>
  <c r="T367" i="1"/>
  <c r="T367" i="1" a="1"/>
  <c r="S367" i="1"/>
  <c r="R367" i="1"/>
  <c r="V366" i="1"/>
  <c r="V366" i="1" a="1"/>
  <c r="U366" i="1"/>
  <c r="T366" i="1"/>
  <c r="T366" i="1" a="1"/>
  <c r="S366" i="1"/>
  <c r="R366" i="1"/>
  <c r="V365" i="1"/>
  <c r="V365" i="1" a="1"/>
  <c r="U365" i="1"/>
  <c r="T365" i="1"/>
  <c r="T365" i="1" a="1"/>
  <c r="S365" i="1"/>
  <c r="R365" i="1"/>
  <c r="V364" i="1"/>
  <c r="V364" i="1" a="1"/>
  <c r="U364" i="1"/>
  <c r="T364" i="1"/>
  <c r="T364" i="1" a="1"/>
  <c r="S364" i="1"/>
  <c r="R364" i="1"/>
  <c r="V363" i="1"/>
  <c r="V363" i="1" a="1"/>
  <c r="U363" i="1"/>
  <c r="T363" i="1"/>
  <c r="T363" i="1" a="1"/>
  <c r="S363" i="1"/>
  <c r="R363" i="1"/>
  <c r="V362" i="1"/>
  <c r="V362" i="1" a="1"/>
  <c r="U362" i="1"/>
  <c r="T362" i="1"/>
  <c r="T362" i="1" a="1"/>
  <c r="S362" i="1"/>
  <c r="R362" i="1"/>
  <c r="V361" i="1"/>
  <c r="V361" i="1" a="1"/>
  <c r="U361" i="1"/>
  <c r="T361" i="1"/>
  <c r="T361" i="1" a="1"/>
  <c r="S361" i="1"/>
  <c r="R361" i="1"/>
  <c r="V360" i="1"/>
  <c r="V360" i="1" a="1"/>
  <c r="U360" i="1"/>
  <c r="T360" i="1"/>
  <c r="T360" i="1" a="1"/>
  <c r="S360" i="1"/>
  <c r="R360" i="1"/>
  <c r="V359" i="1"/>
  <c r="V359" i="1" a="1"/>
  <c r="U359" i="1"/>
  <c r="T359" i="1"/>
  <c r="T359" i="1" a="1"/>
  <c r="S359" i="1"/>
  <c r="R359" i="1"/>
  <c r="V358" i="1"/>
  <c r="V358" i="1" a="1"/>
  <c r="U358" i="1"/>
  <c r="T358" i="1"/>
  <c r="T358" i="1" a="1"/>
  <c r="S358" i="1"/>
  <c r="R358" i="1"/>
  <c r="V357" i="1"/>
  <c r="V357" i="1" a="1"/>
  <c r="U357" i="1"/>
  <c r="T357" i="1"/>
  <c r="T357" i="1" a="1"/>
  <c r="S357" i="1"/>
  <c r="R357" i="1"/>
  <c r="V356" i="1"/>
  <c r="V356" i="1" a="1"/>
  <c r="U356" i="1"/>
  <c r="T356" i="1"/>
  <c r="T356" i="1" a="1"/>
  <c r="S356" i="1"/>
  <c r="R356" i="1"/>
  <c r="V355" i="1"/>
  <c r="V355" i="1" a="1"/>
  <c r="U355" i="1"/>
  <c r="T355" i="1"/>
  <c r="T355" i="1" a="1"/>
  <c r="S355" i="1"/>
  <c r="R355" i="1"/>
  <c r="V354" i="1"/>
  <c r="V354" i="1" a="1"/>
  <c r="U354" i="1"/>
  <c r="T354" i="1"/>
  <c r="T354" i="1" a="1"/>
  <c r="S354" i="1"/>
  <c r="R354" i="1"/>
  <c r="V353" i="1"/>
  <c r="V353" i="1" a="1"/>
  <c r="U353" i="1"/>
  <c r="T353" i="1"/>
  <c r="T353" i="1" a="1"/>
  <c r="S353" i="1"/>
  <c r="R353" i="1"/>
  <c r="V352" i="1"/>
  <c r="V352" i="1" a="1"/>
  <c r="U352" i="1"/>
  <c r="T352" i="1"/>
  <c r="T352" i="1" a="1"/>
  <c r="S352" i="1"/>
  <c r="R352" i="1"/>
  <c r="V351" i="1"/>
  <c r="V351" i="1" a="1"/>
  <c r="U351" i="1"/>
  <c r="T351" i="1"/>
  <c r="T351" i="1" a="1"/>
  <c r="S351" i="1"/>
  <c r="R351" i="1"/>
  <c r="V350" i="1"/>
  <c r="V350" i="1" a="1"/>
  <c r="U350" i="1"/>
  <c r="T350" i="1"/>
  <c r="T350" i="1" a="1"/>
  <c r="S350" i="1"/>
  <c r="R350" i="1"/>
  <c r="V349" i="1"/>
  <c r="V349" i="1" a="1"/>
  <c r="U349" i="1"/>
  <c r="T349" i="1"/>
  <c r="T349" i="1" a="1"/>
  <c r="S349" i="1"/>
  <c r="R349" i="1"/>
  <c r="V348" i="1"/>
  <c r="V348" i="1" a="1"/>
  <c r="U348" i="1"/>
  <c r="T348" i="1"/>
  <c r="T348" i="1" a="1"/>
  <c r="S348" i="1"/>
  <c r="R348" i="1"/>
  <c r="V347" i="1"/>
  <c r="V347" i="1" a="1"/>
  <c r="U347" i="1"/>
  <c r="T347" i="1"/>
  <c r="T347" i="1" a="1"/>
  <c r="S347" i="1"/>
  <c r="R347" i="1"/>
  <c r="V346" i="1"/>
  <c r="V346" i="1" a="1"/>
  <c r="U346" i="1"/>
  <c r="T346" i="1"/>
  <c r="T346" i="1" a="1"/>
  <c r="S346" i="1"/>
  <c r="R346" i="1"/>
  <c r="V345" i="1"/>
  <c r="V345" i="1" a="1"/>
  <c r="U345" i="1"/>
  <c r="T345" i="1"/>
  <c r="T345" i="1" a="1"/>
  <c r="S345" i="1"/>
  <c r="R345" i="1"/>
  <c r="V344" i="1"/>
  <c r="V344" i="1" a="1"/>
  <c r="U344" i="1"/>
  <c r="T344" i="1"/>
  <c r="T344" i="1" a="1"/>
  <c r="S344" i="1"/>
  <c r="R344" i="1"/>
  <c r="V343" i="1"/>
  <c r="V343" i="1" a="1"/>
  <c r="U343" i="1"/>
  <c r="T343" i="1"/>
  <c r="T343" i="1" a="1"/>
  <c r="S343" i="1"/>
  <c r="R343" i="1"/>
  <c r="V342" i="1"/>
  <c r="V342" i="1" a="1"/>
  <c r="U342" i="1"/>
  <c r="T342" i="1"/>
  <c r="T342" i="1" a="1"/>
  <c r="S342" i="1"/>
  <c r="R342" i="1"/>
  <c r="V341" i="1"/>
  <c r="V341" i="1" a="1"/>
  <c r="U341" i="1"/>
  <c r="T341" i="1"/>
  <c r="T341" i="1" a="1"/>
  <c r="S341" i="1"/>
  <c r="R341" i="1"/>
  <c r="V340" i="1"/>
  <c r="V340" i="1" a="1"/>
  <c r="U340" i="1"/>
  <c r="T340" i="1"/>
  <c r="T340" i="1" a="1"/>
  <c r="S340" i="1"/>
  <c r="R340" i="1"/>
  <c r="V339" i="1"/>
  <c r="V339" i="1" a="1"/>
  <c r="U339" i="1"/>
  <c r="T339" i="1"/>
  <c r="T339" i="1" a="1"/>
  <c r="S339" i="1"/>
  <c r="R339" i="1"/>
  <c r="V338" i="1"/>
  <c r="V338" i="1" a="1"/>
  <c r="U338" i="1"/>
  <c r="T338" i="1"/>
  <c r="T338" i="1" a="1"/>
  <c r="S338" i="1"/>
  <c r="R338" i="1"/>
  <c r="V337" i="1"/>
  <c r="V337" i="1" a="1"/>
  <c r="U337" i="1"/>
  <c r="T337" i="1"/>
  <c r="T337" i="1" a="1"/>
  <c r="S337" i="1"/>
  <c r="R337" i="1"/>
  <c r="V336" i="1"/>
  <c r="V336" i="1" a="1"/>
  <c r="U336" i="1"/>
  <c r="T336" i="1"/>
  <c r="T336" i="1" a="1"/>
  <c r="S336" i="1"/>
  <c r="R336" i="1"/>
  <c r="V335" i="1"/>
  <c r="V335" i="1" a="1"/>
  <c r="U335" i="1"/>
  <c r="T335" i="1"/>
  <c r="T335" i="1" a="1"/>
  <c r="S335" i="1"/>
  <c r="R335" i="1"/>
  <c r="V334" i="1"/>
  <c r="V334" i="1" a="1"/>
  <c r="U334" i="1"/>
  <c r="T334" i="1"/>
  <c r="T334" i="1" a="1"/>
  <c r="S334" i="1"/>
  <c r="R334" i="1"/>
  <c r="V333" i="1"/>
  <c r="V333" i="1" a="1"/>
  <c r="U333" i="1"/>
  <c r="T333" i="1"/>
  <c r="T333" i="1" a="1"/>
  <c r="S333" i="1"/>
  <c r="R333" i="1"/>
  <c r="V332" i="1"/>
  <c r="V332" i="1" a="1"/>
  <c r="U332" i="1"/>
  <c r="T332" i="1"/>
  <c r="T332" i="1" a="1"/>
  <c r="S332" i="1"/>
  <c r="R332" i="1"/>
  <c r="V331" i="1"/>
  <c r="V331" i="1" a="1"/>
  <c r="U331" i="1"/>
  <c r="T331" i="1"/>
  <c r="T331" i="1" a="1"/>
  <c r="S331" i="1"/>
  <c r="R331" i="1"/>
  <c r="V330" i="1"/>
  <c r="V330" i="1" a="1"/>
  <c r="U330" i="1"/>
  <c r="T330" i="1"/>
  <c r="T330" i="1" a="1"/>
  <c r="S330" i="1"/>
  <c r="R330" i="1"/>
  <c r="V329" i="1"/>
  <c r="V329" i="1" a="1"/>
  <c r="U329" i="1"/>
  <c r="T329" i="1"/>
  <c r="T329" i="1" a="1"/>
  <c r="S329" i="1"/>
  <c r="R329" i="1"/>
  <c r="V328" i="1"/>
  <c r="V328" i="1" a="1"/>
  <c r="U328" i="1"/>
  <c r="T328" i="1"/>
  <c r="T328" i="1" a="1"/>
  <c r="S328" i="1"/>
  <c r="R328" i="1"/>
  <c r="V327" i="1"/>
  <c r="V327" i="1" a="1"/>
  <c r="U327" i="1"/>
  <c r="T327" i="1"/>
  <c r="T327" i="1" a="1"/>
  <c r="S327" i="1"/>
  <c r="R327" i="1"/>
  <c r="V326" i="1"/>
  <c r="V326" i="1" a="1"/>
  <c r="U326" i="1"/>
  <c r="T326" i="1"/>
  <c r="T326" i="1" a="1"/>
  <c r="S326" i="1"/>
  <c r="R326" i="1"/>
  <c r="V325" i="1"/>
  <c r="V325" i="1" a="1"/>
  <c r="U325" i="1"/>
  <c r="T325" i="1"/>
  <c r="T325" i="1" a="1"/>
  <c r="S325" i="1"/>
  <c r="R325" i="1"/>
  <c r="V324" i="1"/>
  <c r="V324" i="1" a="1"/>
  <c r="U324" i="1"/>
  <c r="T324" i="1"/>
  <c r="T324" i="1" a="1"/>
  <c r="S324" i="1"/>
  <c r="R324" i="1"/>
  <c r="V323" i="1"/>
  <c r="V323" i="1" a="1"/>
  <c r="U323" i="1"/>
  <c r="T323" i="1"/>
  <c r="T323" i="1" a="1"/>
  <c r="S323" i="1"/>
  <c r="R323" i="1"/>
  <c r="V322" i="1"/>
  <c r="V322" i="1" a="1"/>
  <c r="U322" i="1"/>
  <c r="T322" i="1"/>
  <c r="T322" i="1" a="1"/>
  <c r="S322" i="1"/>
  <c r="R322" i="1"/>
  <c r="V321" i="1"/>
  <c r="V321" i="1" a="1"/>
  <c r="U321" i="1"/>
  <c r="T321" i="1"/>
  <c r="T321" i="1" a="1"/>
  <c r="S321" i="1"/>
  <c r="R321" i="1"/>
  <c r="V320" i="1"/>
  <c r="V320" i="1" a="1"/>
  <c r="U320" i="1"/>
  <c r="T320" i="1"/>
  <c r="T320" i="1" a="1"/>
  <c r="S320" i="1"/>
  <c r="R320" i="1"/>
  <c r="V319" i="1"/>
  <c r="V319" i="1" a="1"/>
  <c r="U319" i="1"/>
  <c r="T319" i="1"/>
  <c r="T319" i="1" a="1"/>
  <c r="S319" i="1"/>
  <c r="R319" i="1"/>
  <c r="V318" i="1"/>
  <c r="V318" i="1" a="1"/>
  <c r="U318" i="1"/>
  <c r="T318" i="1"/>
  <c r="T318" i="1" a="1"/>
  <c r="S318" i="1"/>
  <c r="R318" i="1"/>
  <c r="V317" i="1"/>
  <c r="V317" i="1" a="1"/>
  <c r="U317" i="1"/>
  <c r="T317" i="1"/>
  <c r="T317" i="1" a="1"/>
  <c r="S317" i="1"/>
  <c r="R317" i="1"/>
  <c r="V316" i="1"/>
  <c r="V316" i="1" a="1"/>
  <c r="U316" i="1"/>
  <c r="T316" i="1"/>
  <c r="T316" i="1" a="1"/>
  <c r="S316" i="1"/>
  <c r="R316" i="1"/>
  <c r="V315" i="1"/>
  <c r="V315" i="1" a="1"/>
  <c r="U315" i="1"/>
  <c r="T315" i="1"/>
  <c r="T315" i="1" a="1"/>
  <c r="S315" i="1"/>
  <c r="R315" i="1"/>
  <c r="V314" i="1"/>
  <c r="V314" i="1" a="1"/>
  <c r="U314" i="1"/>
  <c r="T314" i="1"/>
  <c r="T314" i="1" a="1"/>
  <c r="S314" i="1"/>
  <c r="R314" i="1"/>
  <c r="V313" i="1"/>
  <c r="V313" i="1" a="1"/>
  <c r="U313" i="1"/>
  <c r="T313" i="1"/>
  <c r="T313" i="1" a="1"/>
  <c r="S313" i="1"/>
  <c r="R313" i="1"/>
  <c r="V312" i="1"/>
  <c r="V312" i="1" a="1"/>
  <c r="U312" i="1"/>
  <c r="T312" i="1"/>
  <c r="T312" i="1" a="1"/>
  <c r="S312" i="1"/>
  <c r="R312" i="1"/>
  <c r="V311" i="1"/>
  <c r="V311" i="1" a="1"/>
  <c r="U311" i="1"/>
  <c r="T311" i="1"/>
  <c r="T311" i="1" a="1"/>
  <c r="S311" i="1"/>
  <c r="R311" i="1"/>
  <c r="V310" i="1"/>
  <c r="V310" i="1" a="1"/>
  <c r="U310" i="1"/>
  <c r="T310" i="1"/>
  <c r="T310" i="1" a="1"/>
  <c r="S310" i="1"/>
  <c r="R310" i="1"/>
  <c r="V309" i="1"/>
  <c r="V309" i="1" a="1"/>
  <c r="U309" i="1"/>
  <c r="T309" i="1"/>
  <c r="T309" i="1" a="1"/>
  <c r="S309" i="1"/>
  <c r="R309" i="1"/>
  <c r="V308" i="1"/>
  <c r="V308" i="1" a="1"/>
  <c r="U308" i="1"/>
  <c r="T308" i="1"/>
  <c r="T308" i="1" a="1"/>
  <c r="S308" i="1"/>
  <c r="R308" i="1"/>
  <c r="V307" i="1"/>
  <c r="V307" i="1" a="1"/>
  <c r="U307" i="1"/>
  <c r="T307" i="1"/>
  <c r="T307" i="1" a="1"/>
  <c r="S307" i="1"/>
  <c r="R307" i="1"/>
  <c r="V306" i="1"/>
  <c r="V306" i="1" a="1"/>
  <c r="U306" i="1"/>
  <c r="T306" i="1"/>
  <c r="T306" i="1" a="1"/>
  <c r="S306" i="1"/>
  <c r="R306" i="1"/>
  <c r="V305" i="1"/>
  <c r="V305" i="1" a="1"/>
  <c r="U305" i="1"/>
  <c r="T305" i="1"/>
  <c r="T305" i="1" a="1"/>
  <c r="S305" i="1"/>
  <c r="R305" i="1"/>
  <c r="V304" i="1"/>
  <c r="V304" i="1" a="1"/>
  <c r="U304" i="1"/>
  <c r="T304" i="1"/>
  <c r="T304" i="1" a="1"/>
  <c r="S304" i="1"/>
  <c r="R304" i="1"/>
  <c r="V303" i="1"/>
  <c r="V303" i="1" a="1"/>
  <c r="U303" i="1"/>
  <c r="T303" i="1"/>
  <c r="T303" i="1" a="1"/>
  <c r="S303" i="1"/>
  <c r="R303" i="1"/>
  <c r="V302" i="1"/>
  <c r="V302" i="1" a="1"/>
  <c r="U302" i="1"/>
  <c r="T302" i="1"/>
  <c r="T302" i="1" a="1"/>
  <c r="S302" i="1"/>
  <c r="R302" i="1"/>
  <c r="V301" i="1"/>
  <c r="V301" i="1" a="1"/>
  <c r="U301" i="1"/>
  <c r="T301" i="1"/>
  <c r="T301" i="1" a="1"/>
  <c r="S301" i="1"/>
  <c r="R301" i="1"/>
  <c r="V300" i="1"/>
  <c r="V300" i="1" a="1"/>
  <c r="U300" i="1"/>
  <c r="T300" i="1"/>
  <c r="T300" i="1" a="1"/>
  <c r="S300" i="1"/>
  <c r="R300" i="1"/>
  <c r="V299" i="1"/>
  <c r="V299" i="1" a="1"/>
  <c r="U299" i="1"/>
  <c r="T299" i="1"/>
  <c r="T299" i="1" a="1"/>
  <c r="S299" i="1"/>
  <c r="R299" i="1"/>
  <c r="V298" i="1"/>
  <c r="V298" i="1" a="1"/>
  <c r="U298" i="1"/>
  <c r="T298" i="1"/>
  <c r="T298" i="1" a="1"/>
  <c r="S298" i="1"/>
  <c r="R298" i="1"/>
  <c r="V297" i="1"/>
  <c r="V297" i="1" a="1"/>
  <c r="U297" i="1"/>
  <c r="T297" i="1"/>
  <c r="T297" i="1" a="1"/>
  <c r="S297" i="1"/>
  <c r="R297" i="1"/>
  <c r="V296" i="1"/>
  <c r="V296" i="1" a="1"/>
  <c r="U296" i="1"/>
  <c r="T296" i="1"/>
  <c r="T296" i="1" a="1"/>
  <c r="S296" i="1"/>
  <c r="R296" i="1"/>
  <c r="V295" i="1"/>
  <c r="V295" i="1" a="1"/>
  <c r="U295" i="1"/>
  <c r="T295" i="1"/>
  <c r="T295" i="1" a="1"/>
  <c r="S295" i="1"/>
  <c r="R295" i="1"/>
  <c r="V294" i="1"/>
  <c r="V294" i="1" a="1"/>
  <c r="U294" i="1"/>
  <c r="T294" i="1"/>
  <c r="T294" i="1" a="1"/>
  <c r="S294" i="1"/>
  <c r="R294" i="1"/>
  <c r="V293" i="1"/>
  <c r="V293" i="1" a="1"/>
  <c r="U293" i="1"/>
  <c r="T293" i="1"/>
  <c r="T293" i="1" a="1"/>
  <c r="S293" i="1"/>
  <c r="R293" i="1"/>
  <c r="V292" i="1"/>
  <c r="V292" i="1" a="1"/>
  <c r="U292" i="1"/>
  <c r="T292" i="1"/>
  <c r="T292" i="1" a="1"/>
  <c r="S292" i="1"/>
  <c r="R292" i="1"/>
  <c r="V291" i="1"/>
  <c r="V291" i="1" a="1"/>
  <c r="U291" i="1"/>
  <c r="T291" i="1"/>
  <c r="T291" i="1" a="1"/>
  <c r="S291" i="1"/>
  <c r="R291" i="1"/>
  <c r="V290" i="1"/>
  <c r="V290" i="1" a="1"/>
  <c r="U290" i="1"/>
  <c r="T290" i="1"/>
  <c r="T290" i="1" a="1"/>
  <c r="S290" i="1"/>
  <c r="R290" i="1"/>
  <c r="V289" i="1"/>
  <c r="V289" i="1" a="1"/>
  <c r="U289" i="1"/>
  <c r="T289" i="1"/>
  <c r="T289" i="1" a="1"/>
  <c r="S289" i="1"/>
  <c r="R289" i="1"/>
  <c r="V288" i="1"/>
  <c r="V288" i="1" a="1"/>
  <c r="U288" i="1"/>
  <c r="T288" i="1"/>
  <c r="T288" i="1" a="1"/>
  <c r="S288" i="1"/>
  <c r="R288" i="1"/>
  <c r="V287" i="1"/>
  <c r="V287" i="1" a="1"/>
  <c r="U287" i="1"/>
  <c r="T287" i="1"/>
  <c r="T287" i="1" a="1"/>
  <c r="S287" i="1"/>
  <c r="R287" i="1"/>
  <c r="V286" i="1"/>
  <c r="V286" i="1" a="1"/>
  <c r="U286" i="1"/>
  <c r="T286" i="1"/>
  <c r="T286" i="1" a="1"/>
  <c r="S286" i="1"/>
  <c r="R286" i="1"/>
  <c r="V285" i="1"/>
  <c r="V285" i="1" a="1"/>
  <c r="U285" i="1"/>
  <c r="T285" i="1"/>
  <c r="T285" i="1" a="1"/>
  <c r="S285" i="1"/>
  <c r="R285" i="1"/>
  <c r="V284" i="1"/>
  <c r="V284" i="1" a="1"/>
  <c r="U284" i="1"/>
  <c r="T284" i="1"/>
  <c r="T284" i="1" a="1"/>
  <c r="S284" i="1"/>
  <c r="R284" i="1"/>
  <c r="V283" i="1"/>
  <c r="V283" i="1" a="1"/>
  <c r="U283" i="1"/>
  <c r="T283" i="1"/>
  <c r="T283" i="1" a="1"/>
  <c r="S283" i="1"/>
  <c r="R283" i="1"/>
  <c r="V282" i="1"/>
  <c r="V282" i="1" a="1"/>
  <c r="U282" i="1"/>
  <c r="T282" i="1"/>
  <c r="T282" i="1" a="1"/>
  <c r="S282" i="1"/>
  <c r="R282" i="1"/>
  <c r="V281" i="1"/>
  <c r="V281" i="1" a="1"/>
  <c r="U281" i="1"/>
  <c r="T281" i="1"/>
  <c r="T281" i="1" a="1"/>
  <c r="S281" i="1"/>
  <c r="R281" i="1"/>
  <c r="V280" i="1"/>
  <c r="V280" i="1" a="1"/>
  <c r="U280" i="1"/>
  <c r="T280" i="1"/>
  <c r="T280" i="1" a="1"/>
  <c r="S280" i="1"/>
  <c r="R280" i="1"/>
  <c r="V279" i="1"/>
  <c r="V279" i="1" a="1"/>
  <c r="U279" i="1"/>
  <c r="T279" i="1"/>
  <c r="T279" i="1" a="1"/>
  <c r="S279" i="1"/>
  <c r="R279" i="1"/>
  <c r="V278" i="1"/>
  <c r="V278" i="1" a="1"/>
  <c r="U278" i="1"/>
  <c r="T278" i="1"/>
  <c r="T278" i="1" a="1"/>
  <c r="S278" i="1"/>
  <c r="R278" i="1"/>
  <c r="V277" i="1"/>
  <c r="V277" i="1" a="1"/>
  <c r="U277" i="1"/>
  <c r="T277" i="1"/>
  <c r="T277" i="1" a="1"/>
  <c r="S277" i="1"/>
  <c r="R277" i="1"/>
  <c r="V276" i="1"/>
  <c r="V276" i="1" a="1"/>
  <c r="U276" i="1"/>
  <c r="T276" i="1"/>
  <c r="T276" i="1" a="1"/>
  <c r="S276" i="1"/>
  <c r="R276" i="1"/>
  <c r="V275" i="1"/>
  <c r="V275" i="1" a="1"/>
  <c r="U275" i="1"/>
  <c r="T275" i="1"/>
  <c r="T275" i="1" a="1"/>
  <c r="S275" i="1"/>
  <c r="R275" i="1"/>
  <c r="V274" i="1"/>
  <c r="V274" i="1" a="1"/>
  <c r="U274" i="1"/>
  <c r="T274" i="1"/>
  <c r="T274" i="1" a="1"/>
  <c r="S274" i="1"/>
  <c r="R274" i="1"/>
  <c r="V273" i="1"/>
  <c r="V273" i="1" a="1"/>
  <c r="U273" i="1"/>
  <c r="T273" i="1"/>
  <c r="T273" i="1" a="1"/>
  <c r="S273" i="1"/>
  <c r="R273" i="1"/>
  <c r="V272" i="1"/>
  <c r="V272" i="1" a="1"/>
  <c r="U272" i="1"/>
  <c r="T272" i="1"/>
  <c r="T272" i="1" a="1"/>
  <c r="S272" i="1"/>
  <c r="R272" i="1"/>
  <c r="V271" i="1"/>
  <c r="V271" i="1" a="1"/>
  <c r="U271" i="1"/>
  <c r="T271" i="1"/>
  <c r="T271" i="1" a="1"/>
  <c r="S271" i="1"/>
  <c r="R271" i="1"/>
  <c r="V270" i="1"/>
  <c r="V270" i="1" a="1"/>
  <c r="U270" i="1"/>
  <c r="T270" i="1"/>
  <c r="T270" i="1" a="1"/>
  <c r="S270" i="1"/>
  <c r="R270" i="1"/>
  <c r="V269" i="1"/>
  <c r="V269" i="1" a="1"/>
  <c r="U269" i="1"/>
  <c r="T269" i="1"/>
  <c r="T269" i="1" a="1"/>
  <c r="S269" i="1"/>
  <c r="R269" i="1"/>
  <c r="V268" i="1"/>
  <c r="V268" i="1" a="1"/>
  <c r="U268" i="1"/>
  <c r="T268" i="1"/>
  <c r="T268" i="1" a="1"/>
  <c r="S268" i="1"/>
  <c r="R268" i="1"/>
  <c r="V267" i="1"/>
  <c r="V267" i="1" a="1"/>
  <c r="U267" i="1"/>
  <c r="T267" i="1"/>
  <c r="T267" i="1" a="1"/>
  <c r="S267" i="1"/>
  <c r="R267" i="1"/>
  <c r="V266" i="1"/>
  <c r="V266" i="1" a="1"/>
  <c r="U266" i="1"/>
  <c r="T266" i="1"/>
  <c r="T266" i="1" a="1"/>
  <c r="S266" i="1"/>
  <c r="R266" i="1"/>
  <c r="V265" i="1"/>
  <c r="V265" i="1" a="1"/>
  <c r="U265" i="1"/>
  <c r="T265" i="1"/>
  <c r="T265" i="1" a="1"/>
  <c r="S265" i="1"/>
  <c r="R265" i="1"/>
  <c r="V264" i="1"/>
  <c r="V264" i="1" a="1"/>
  <c r="U264" i="1"/>
  <c r="T264" i="1"/>
  <c r="T264" i="1" a="1"/>
  <c r="S264" i="1"/>
  <c r="R264" i="1"/>
  <c r="V263" i="1"/>
  <c r="V263" i="1" a="1"/>
  <c r="U263" i="1"/>
  <c r="T263" i="1"/>
  <c r="T263" i="1" a="1"/>
  <c r="S263" i="1"/>
  <c r="R263" i="1"/>
  <c r="V262" i="1"/>
  <c r="V262" i="1" a="1"/>
  <c r="U262" i="1"/>
  <c r="T262" i="1"/>
  <c r="T262" i="1" a="1"/>
  <c r="S262" i="1"/>
  <c r="R262" i="1"/>
  <c r="V261" i="1"/>
  <c r="V261" i="1" a="1"/>
  <c r="U261" i="1"/>
  <c r="T261" i="1"/>
  <c r="T261" i="1" a="1"/>
  <c r="S261" i="1"/>
  <c r="R261" i="1"/>
  <c r="V260" i="1"/>
  <c r="V260" i="1" a="1"/>
  <c r="U260" i="1"/>
  <c r="T260" i="1"/>
  <c r="T260" i="1" a="1"/>
  <c r="S260" i="1"/>
  <c r="R260" i="1"/>
  <c r="V259" i="1"/>
  <c r="V259" i="1" a="1"/>
  <c r="U259" i="1"/>
  <c r="T259" i="1"/>
  <c r="T259" i="1" a="1"/>
  <c r="S259" i="1"/>
  <c r="R259" i="1"/>
  <c r="V258" i="1"/>
  <c r="V258" i="1" a="1"/>
  <c r="U258" i="1"/>
  <c r="T258" i="1"/>
  <c r="T258" i="1" a="1"/>
  <c r="S258" i="1"/>
  <c r="R258" i="1"/>
  <c r="V257" i="1"/>
  <c r="V257" i="1" a="1"/>
  <c r="U257" i="1"/>
  <c r="T257" i="1"/>
  <c r="T257" i="1" a="1"/>
  <c r="S257" i="1"/>
  <c r="R257" i="1"/>
  <c r="V256" i="1"/>
  <c r="V256" i="1" a="1"/>
  <c r="U256" i="1"/>
  <c r="T256" i="1"/>
  <c r="T256" i="1" a="1"/>
  <c r="S256" i="1"/>
  <c r="R256" i="1"/>
  <c r="V255" i="1"/>
  <c r="V255" i="1" a="1"/>
  <c r="U255" i="1"/>
  <c r="T255" i="1"/>
  <c r="T255" i="1" a="1"/>
  <c r="S255" i="1"/>
  <c r="R255" i="1"/>
  <c r="V254" i="1"/>
  <c r="V254" i="1" a="1"/>
  <c r="U254" i="1"/>
  <c r="T254" i="1"/>
  <c r="T254" i="1" a="1"/>
  <c r="S254" i="1"/>
  <c r="R254" i="1"/>
  <c r="V253" i="1"/>
  <c r="V253" i="1" a="1"/>
  <c r="U253" i="1"/>
  <c r="T253" i="1"/>
  <c r="T253" i="1" a="1"/>
  <c r="S253" i="1"/>
  <c r="R253" i="1"/>
  <c r="V252" i="1"/>
  <c r="V252" i="1" a="1"/>
  <c r="U252" i="1"/>
  <c r="T252" i="1"/>
  <c r="T252" i="1" a="1"/>
  <c r="S252" i="1"/>
  <c r="R252" i="1"/>
  <c r="V251" i="1"/>
  <c r="V251" i="1" a="1"/>
  <c r="U251" i="1"/>
  <c r="T251" i="1"/>
  <c r="T251" i="1" a="1"/>
  <c r="S251" i="1"/>
  <c r="R251" i="1"/>
  <c r="V250" i="1"/>
  <c r="V250" i="1" a="1"/>
  <c r="U250" i="1"/>
  <c r="T250" i="1"/>
  <c r="T250" i="1" a="1"/>
  <c r="S250" i="1"/>
  <c r="R250" i="1"/>
  <c r="V249" i="1"/>
  <c r="V249" i="1" a="1"/>
  <c r="U249" i="1"/>
  <c r="T249" i="1"/>
  <c r="T249" i="1" a="1"/>
  <c r="S249" i="1"/>
  <c r="R249" i="1"/>
  <c r="V248" i="1"/>
  <c r="V248" i="1" a="1"/>
  <c r="U248" i="1"/>
  <c r="T248" i="1"/>
  <c r="T248" i="1" a="1"/>
  <c r="S248" i="1"/>
  <c r="R248" i="1"/>
  <c r="V247" i="1"/>
  <c r="V247" i="1" a="1"/>
  <c r="U247" i="1"/>
  <c r="T247" i="1"/>
  <c r="T247" i="1" a="1"/>
  <c r="S247" i="1"/>
  <c r="R247" i="1"/>
  <c r="V246" i="1"/>
  <c r="V246" i="1" a="1"/>
  <c r="U246" i="1"/>
  <c r="T246" i="1"/>
  <c r="T246" i="1" a="1"/>
  <c r="S246" i="1"/>
  <c r="R246" i="1"/>
  <c r="V245" i="1"/>
  <c r="V245" i="1" a="1"/>
  <c r="U245" i="1"/>
  <c r="T245" i="1"/>
  <c r="T245" i="1" a="1"/>
  <c r="S245" i="1"/>
  <c r="R245" i="1"/>
  <c r="V244" i="1"/>
  <c r="V244" i="1" a="1"/>
  <c r="U244" i="1"/>
  <c r="T244" i="1"/>
  <c r="T244" i="1" a="1"/>
  <c r="S244" i="1"/>
  <c r="R244" i="1"/>
  <c r="V243" i="1"/>
  <c r="V243" i="1" a="1"/>
  <c r="U243" i="1"/>
  <c r="T243" i="1"/>
  <c r="T243" i="1" a="1"/>
  <c r="S243" i="1"/>
  <c r="R243" i="1"/>
  <c r="V242" i="1"/>
  <c r="V242" i="1" a="1"/>
  <c r="U242" i="1"/>
  <c r="T242" i="1"/>
  <c r="T242" i="1" a="1"/>
  <c r="S242" i="1"/>
  <c r="R242" i="1"/>
  <c r="V241" i="1"/>
  <c r="V241" i="1" a="1"/>
  <c r="U241" i="1"/>
  <c r="T241" i="1"/>
  <c r="T241" i="1" a="1"/>
  <c r="S241" i="1"/>
  <c r="R241" i="1"/>
  <c r="V240" i="1"/>
  <c r="V240" i="1" a="1"/>
  <c r="U240" i="1"/>
  <c r="T240" i="1"/>
  <c r="T240" i="1" a="1"/>
  <c r="S240" i="1"/>
  <c r="R240" i="1"/>
  <c r="V239" i="1"/>
  <c r="V239" i="1" a="1"/>
  <c r="U239" i="1"/>
  <c r="T239" i="1"/>
  <c r="T239" i="1" a="1"/>
  <c r="S239" i="1"/>
  <c r="R239" i="1"/>
  <c r="V238" i="1"/>
  <c r="V238" i="1" a="1"/>
  <c r="U238" i="1"/>
  <c r="T238" i="1"/>
  <c r="T238" i="1" a="1"/>
  <c r="S238" i="1"/>
  <c r="R238" i="1"/>
  <c r="V237" i="1"/>
  <c r="V237" i="1" a="1"/>
  <c r="U237" i="1"/>
  <c r="T237" i="1"/>
  <c r="T237" i="1" a="1"/>
  <c r="S237" i="1"/>
  <c r="R237" i="1"/>
  <c r="V236" i="1"/>
  <c r="V236" i="1" a="1"/>
  <c r="U236" i="1"/>
  <c r="T236" i="1"/>
  <c r="T236" i="1" a="1"/>
  <c r="S236" i="1"/>
  <c r="R236" i="1"/>
  <c r="V235" i="1"/>
  <c r="V235" i="1" a="1"/>
  <c r="U235" i="1"/>
  <c r="T235" i="1"/>
  <c r="T235" i="1" a="1"/>
  <c r="S235" i="1"/>
  <c r="R235" i="1"/>
  <c r="V234" i="1"/>
  <c r="V234" i="1" a="1"/>
  <c r="U234" i="1"/>
  <c r="T234" i="1"/>
  <c r="T234" i="1" a="1"/>
  <c r="S234" i="1"/>
  <c r="R234" i="1"/>
  <c r="V233" i="1"/>
  <c r="V233" i="1" a="1"/>
  <c r="U233" i="1"/>
  <c r="T233" i="1"/>
  <c r="T233" i="1" a="1"/>
  <c r="S233" i="1"/>
  <c r="R233" i="1"/>
  <c r="V232" i="1"/>
  <c r="V232" i="1" a="1"/>
  <c r="U232" i="1"/>
  <c r="T232" i="1"/>
  <c r="T232" i="1" a="1"/>
  <c r="S232" i="1"/>
  <c r="R232" i="1"/>
  <c r="V231" i="1"/>
  <c r="V231" i="1" a="1"/>
  <c r="U231" i="1"/>
  <c r="T231" i="1"/>
  <c r="T231" i="1" a="1"/>
  <c r="S231" i="1"/>
  <c r="R231" i="1"/>
  <c r="V230" i="1"/>
  <c r="V230" i="1" a="1"/>
  <c r="U230" i="1"/>
  <c r="T230" i="1"/>
  <c r="T230" i="1" a="1"/>
  <c r="S230" i="1"/>
  <c r="R230" i="1"/>
  <c r="V229" i="1"/>
  <c r="V229" i="1" a="1"/>
  <c r="U229" i="1"/>
  <c r="T229" i="1"/>
  <c r="T229" i="1" a="1"/>
  <c r="S229" i="1"/>
  <c r="R229" i="1"/>
  <c r="V228" i="1"/>
  <c r="V228" i="1" a="1"/>
  <c r="U228" i="1"/>
  <c r="T228" i="1"/>
  <c r="T228" i="1" a="1"/>
  <c r="S228" i="1"/>
  <c r="R228" i="1"/>
  <c r="V227" i="1"/>
  <c r="V227" i="1" a="1"/>
  <c r="U227" i="1"/>
  <c r="T227" i="1"/>
  <c r="T227" i="1" a="1"/>
  <c r="S227" i="1"/>
  <c r="R227" i="1"/>
  <c r="V226" i="1"/>
  <c r="V226" i="1" a="1"/>
  <c r="U226" i="1"/>
  <c r="T226" i="1"/>
  <c r="T226" i="1" a="1"/>
  <c r="S226" i="1"/>
  <c r="R226" i="1"/>
  <c r="V225" i="1"/>
  <c r="V225" i="1" a="1"/>
  <c r="U225" i="1"/>
  <c r="T225" i="1"/>
  <c r="T225" i="1" a="1"/>
  <c r="S225" i="1"/>
  <c r="R225" i="1"/>
  <c r="V224" i="1"/>
  <c r="V224" i="1" a="1"/>
  <c r="U224" i="1"/>
  <c r="T224" i="1"/>
  <c r="T224" i="1" a="1"/>
  <c r="S224" i="1"/>
  <c r="R224" i="1"/>
  <c r="V223" i="1"/>
  <c r="V223" i="1" a="1"/>
  <c r="U223" i="1"/>
  <c r="T223" i="1"/>
  <c r="T223" i="1" a="1"/>
  <c r="S223" i="1"/>
  <c r="R223" i="1"/>
  <c r="V222" i="1"/>
  <c r="V222" i="1" a="1"/>
  <c r="U222" i="1"/>
  <c r="T222" i="1"/>
  <c r="T222" i="1" a="1"/>
  <c r="S222" i="1"/>
  <c r="R222" i="1"/>
  <c r="V221" i="1"/>
  <c r="V221" i="1" a="1"/>
  <c r="U221" i="1"/>
  <c r="T221" i="1"/>
  <c r="T221" i="1" a="1"/>
  <c r="S221" i="1"/>
  <c r="R221" i="1"/>
  <c r="V220" i="1"/>
  <c r="V220" i="1" a="1"/>
  <c r="U220" i="1"/>
  <c r="T220" i="1"/>
  <c r="T220" i="1" a="1"/>
  <c r="S220" i="1"/>
  <c r="R220" i="1"/>
  <c r="V219" i="1"/>
  <c r="V219" i="1" a="1"/>
  <c r="U219" i="1"/>
  <c r="T219" i="1"/>
  <c r="T219" i="1" a="1"/>
  <c r="S219" i="1"/>
  <c r="R219" i="1"/>
  <c r="V218" i="1"/>
  <c r="V218" i="1" a="1"/>
  <c r="U218" i="1"/>
  <c r="T218" i="1"/>
  <c r="T218" i="1" a="1"/>
  <c r="S218" i="1"/>
  <c r="R218" i="1"/>
  <c r="V217" i="1"/>
  <c r="V217" i="1" a="1"/>
  <c r="U217" i="1"/>
  <c r="T217" i="1"/>
  <c r="T217" i="1" a="1"/>
  <c r="S217" i="1"/>
  <c r="R217" i="1"/>
  <c r="V216" i="1"/>
  <c r="V216" i="1" a="1"/>
  <c r="U216" i="1"/>
  <c r="T216" i="1"/>
  <c r="T216" i="1" a="1"/>
  <c r="S216" i="1"/>
  <c r="R216" i="1"/>
  <c r="V215" i="1"/>
  <c r="V215" i="1" a="1"/>
  <c r="U215" i="1"/>
  <c r="T215" i="1"/>
  <c r="T215" i="1" a="1"/>
  <c r="S215" i="1"/>
  <c r="R215" i="1"/>
  <c r="V214" i="1"/>
  <c r="V214" i="1" a="1"/>
  <c r="U214" i="1"/>
  <c r="T214" i="1"/>
  <c r="T214" i="1" a="1"/>
  <c r="S214" i="1"/>
  <c r="R214" i="1"/>
  <c r="V213" i="1"/>
  <c r="V213" i="1" a="1"/>
  <c r="U213" i="1"/>
  <c r="T213" i="1"/>
  <c r="T213" i="1" a="1"/>
  <c r="S213" i="1"/>
  <c r="R213" i="1"/>
  <c r="V212" i="1"/>
  <c r="V212" i="1" a="1"/>
  <c r="U212" i="1"/>
  <c r="T212" i="1"/>
  <c r="T212" i="1" a="1"/>
  <c r="S212" i="1"/>
  <c r="R212" i="1"/>
  <c r="V211" i="1"/>
  <c r="V211" i="1" a="1"/>
  <c r="U211" i="1"/>
  <c r="T211" i="1"/>
  <c r="T211" i="1" a="1"/>
  <c r="S211" i="1"/>
  <c r="R211" i="1"/>
  <c r="V210" i="1"/>
  <c r="V210" i="1" a="1"/>
  <c r="U210" i="1"/>
  <c r="T210" i="1"/>
  <c r="T210" i="1" a="1"/>
  <c r="S210" i="1"/>
  <c r="R210" i="1"/>
  <c r="V209" i="1"/>
  <c r="V209" i="1" a="1"/>
  <c r="U209" i="1"/>
  <c r="T209" i="1"/>
  <c r="T209" i="1" a="1"/>
  <c r="S209" i="1"/>
  <c r="R209" i="1"/>
  <c r="V208" i="1"/>
  <c r="V208" i="1" a="1"/>
  <c r="U208" i="1"/>
  <c r="T208" i="1"/>
  <c r="T208" i="1" a="1"/>
  <c r="S208" i="1"/>
  <c r="R208" i="1"/>
  <c r="V207" i="1"/>
  <c r="V207" i="1" a="1"/>
  <c r="U207" i="1"/>
  <c r="T207" i="1"/>
  <c r="T207" i="1" a="1"/>
  <c r="S207" i="1"/>
  <c r="R207" i="1"/>
  <c r="V206" i="1"/>
  <c r="V206" i="1" a="1"/>
  <c r="U206" i="1"/>
  <c r="T206" i="1"/>
  <c r="T206" i="1" a="1"/>
  <c r="S206" i="1"/>
  <c r="R206" i="1"/>
  <c r="V205" i="1"/>
  <c r="V205" i="1" a="1"/>
  <c r="U205" i="1"/>
  <c r="T205" i="1"/>
  <c r="T205" i="1" a="1"/>
  <c r="S205" i="1"/>
  <c r="R205" i="1"/>
  <c r="V204" i="1"/>
  <c r="V204" i="1" a="1"/>
  <c r="U204" i="1"/>
  <c r="T204" i="1"/>
  <c r="T204" i="1" a="1"/>
  <c r="S204" i="1"/>
  <c r="R204" i="1"/>
  <c r="V203" i="1"/>
  <c r="V203" i="1" a="1"/>
  <c r="U203" i="1"/>
  <c r="T203" i="1"/>
  <c r="T203" i="1" a="1"/>
  <c r="S203" i="1"/>
  <c r="R203" i="1"/>
  <c r="V202" i="1"/>
  <c r="V202" i="1" a="1"/>
  <c r="U202" i="1"/>
  <c r="T202" i="1"/>
  <c r="T202" i="1" a="1"/>
  <c r="S202" i="1"/>
  <c r="R202" i="1"/>
  <c r="V201" i="1"/>
  <c r="V201" i="1" a="1"/>
  <c r="U201" i="1"/>
  <c r="T201" i="1"/>
  <c r="T201" i="1" a="1"/>
  <c r="S201" i="1"/>
  <c r="R201" i="1"/>
  <c r="V200" i="1"/>
  <c r="V200" i="1" a="1"/>
  <c r="U200" i="1"/>
  <c r="T200" i="1"/>
  <c r="T200" i="1" a="1"/>
  <c r="S200" i="1"/>
  <c r="R200" i="1"/>
  <c r="V199" i="1"/>
  <c r="V199" i="1" a="1"/>
  <c r="U199" i="1"/>
  <c r="T199" i="1"/>
  <c r="T199" i="1" a="1"/>
  <c r="S199" i="1"/>
  <c r="R199" i="1"/>
  <c r="V198" i="1"/>
  <c r="V198" i="1" a="1"/>
  <c r="U198" i="1"/>
  <c r="T198" i="1"/>
  <c r="T198" i="1" a="1"/>
  <c r="S198" i="1"/>
  <c r="R198" i="1"/>
  <c r="V197" i="1"/>
  <c r="V197" i="1" a="1"/>
  <c r="U197" i="1"/>
  <c r="T197" i="1"/>
  <c r="T197" i="1" a="1"/>
  <c r="S197" i="1"/>
  <c r="R197" i="1"/>
  <c r="V196" i="1"/>
  <c r="V196" i="1" a="1"/>
  <c r="U196" i="1"/>
  <c r="T196" i="1"/>
  <c r="T196" i="1" a="1"/>
  <c r="S196" i="1"/>
  <c r="R196" i="1"/>
  <c r="V195" i="1"/>
  <c r="V195" i="1" a="1"/>
  <c r="U195" i="1"/>
  <c r="T195" i="1"/>
  <c r="T195" i="1" a="1"/>
  <c r="S195" i="1"/>
  <c r="R195" i="1"/>
  <c r="V194" i="1"/>
  <c r="V194" i="1" a="1"/>
  <c r="U194" i="1"/>
  <c r="T194" i="1"/>
  <c r="T194" i="1" a="1"/>
  <c r="S194" i="1"/>
  <c r="R194" i="1"/>
  <c r="V193" i="1"/>
  <c r="V193" i="1" a="1"/>
  <c r="U193" i="1"/>
  <c r="T193" i="1"/>
  <c r="T193" i="1" a="1"/>
  <c r="S193" i="1"/>
  <c r="R193" i="1"/>
  <c r="V192" i="1"/>
  <c r="V192" i="1" a="1"/>
  <c r="U192" i="1"/>
  <c r="T192" i="1"/>
  <c r="T192" i="1" a="1"/>
  <c r="S192" i="1"/>
  <c r="R192" i="1"/>
  <c r="V191" i="1"/>
  <c r="V191" i="1" a="1"/>
  <c r="U191" i="1"/>
  <c r="T191" i="1"/>
  <c r="T191" i="1" a="1"/>
  <c r="S191" i="1"/>
  <c r="R191" i="1"/>
  <c r="V190" i="1"/>
  <c r="V190" i="1" a="1"/>
  <c r="U190" i="1"/>
  <c r="T190" i="1"/>
  <c r="T190" i="1" a="1"/>
  <c r="S190" i="1"/>
  <c r="R190" i="1"/>
  <c r="V189" i="1"/>
  <c r="V189" i="1" a="1"/>
  <c r="U189" i="1"/>
  <c r="T189" i="1"/>
  <c r="T189" i="1" a="1"/>
  <c r="S189" i="1"/>
  <c r="R189" i="1"/>
  <c r="V188" i="1"/>
  <c r="V188" i="1" a="1"/>
  <c r="U188" i="1"/>
  <c r="T188" i="1"/>
  <c r="T188" i="1" a="1"/>
  <c r="S188" i="1"/>
  <c r="R188" i="1"/>
  <c r="V187" i="1"/>
  <c r="V187" i="1" a="1"/>
  <c r="U187" i="1"/>
  <c r="T187" i="1"/>
  <c r="T187" i="1" a="1"/>
  <c r="S187" i="1"/>
  <c r="R187" i="1"/>
  <c r="V186" i="1"/>
  <c r="V186" i="1" a="1"/>
  <c r="U186" i="1"/>
  <c r="T186" i="1"/>
  <c r="T186" i="1" a="1"/>
  <c r="S186" i="1"/>
  <c r="R186" i="1"/>
  <c r="V185" i="1"/>
  <c r="V185" i="1" a="1"/>
  <c r="U185" i="1"/>
  <c r="T185" i="1"/>
  <c r="T185" i="1" a="1"/>
  <c r="S185" i="1"/>
  <c r="R185" i="1"/>
  <c r="V184" i="1"/>
  <c r="V184" i="1" a="1"/>
  <c r="U184" i="1"/>
  <c r="T184" i="1"/>
  <c r="T184" i="1" a="1"/>
  <c r="S184" i="1"/>
  <c r="R184" i="1"/>
  <c r="V183" i="1"/>
  <c r="V183" i="1" a="1"/>
  <c r="U183" i="1"/>
  <c r="T183" i="1"/>
  <c r="T183" i="1" a="1"/>
  <c r="S183" i="1"/>
  <c r="R183" i="1"/>
  <c r="V182" i="1"/>
  <c r="V182" i="1" a="1"/>
  <c r="U182" i="1"/>
  <c r="T182" i="1"/>
  <c r="T182" i="1" a="1"/>
  <c r="S182" i="1"/>
  <c r="R182" i="1"/>
  <c r="V181" i="1"/>
  <c r="V181" i="1" a="1"/>
  <c r="U181" i="1"/>
  <c r="T181" i="1"/>
  <c r="T181" i="1" a="1"/>
  <c r="S181" i="1"/>
  <c r="R181" i="1"/>
  <c r="V180" i="1"/>
  <c r="V180" i="1" a="1"/>
  <c r="U180" i="1"/>
  <c r="T180" i="1"/>
  <c r="T180" i="1" a="1"/>
  <c r="S180" i="1"/>
  <c r="R180" i="1"/>
  <c r="V179" i="1"/>
  <c r="V179" i="1" a="1"/>
  <c r="U179" i="1"/>
  <c r="T179" i="1"/>
  <c r="T179" i="1" a="1"/>
  <c r="S179" i="1"/>
  <c r="R179" i="1"/>
  <c r="V178" i="1"/>
  <c r="V178" i="1" a="1"/>
  <c r="U178" i="1"/>
  <c r="T178" i="1"/>
  <c r="T178" i="1" a="1"/>
  <c r="S178" i="1"/>
  <c r="R178" i="1"/>
  <c r="V177" i="1"/>
  <c r="V177" i="1" a="1"/>
  <c r="U177" i="1"/>
  <c r="T177" i="1"/>
  <c r="T177" i="1" a="1"/>
  <c r="S177" i="1"/>
  <c r="R177" i="1"/>
  <c r="V176" i="1"/>
  <c r="V176" i="1" a="1"/>
  <c r="U176" i="1"/>
  <c r="T176" i="1"/>
  <c r="T176" i="1" a="1"/>
  <c r="S176" i="1"/>
  <c r="R176" i="1"/>
  <c r="V175" i="1"/>
  <c r="V175" i="1" a="1"/>
  <c r="U175" i="1"/>
  <c r="T175" i="1"/>
  <c r="T175" i="1" a="1"/>
  <c r="S175" i="1"/>
  <c r="R175" i="1"/>
  <c r="V174" i="1"/>
  <c r="V174" i="1" a="1"/>
  <c r="U174" i="1"/>
  <c r="T174" i="1"/>
  <c r="T174" i="1" a="1"/>
  <c r="S174" i="1"/>
  <c r="R174" i="1"/>
  <c r="V173" i="1"/>
  <c r="V173" i="1" a="1"/>
  <c r="U173" i="1"/>
  <c r="T173" i="1"/>
  <c r="T173" i="1" a="1"/>
  <c r="S173" i="1"/>
  <c r="R173" i="1"/>
  <c r="V172" i="1"/>
  <c r="V172" i="1" a="1"/>
  <c r="U172" i="1"/>
  <c r="T172" i="1"/>
  <c r="T172" i="1" a="1"/>
  <c r="S172" i="1"/>
  <c r="R172" i="1"/>
  <c r="V171" i="1"/>
  <c r="V171" i="1" a="1"/>
  <c r="U171" i="1"/>
  <c r="T171" i="1"/>
  <c r="T171" i="1" a="1"/>
  <c r="S171" i="1"/>
  <c r="R171" i="1"/>
  <c r="V170" i="1"/>
  <c r="V170" i="1" a="1"/>
  <c r="U170" i="1"/>
  <c r="T170" i="1"/>
  <c r="T170" i="1" a="1"/>
  <c r="S170" i="1"/>
  <c r="R170" i="1"/>
  <c r="V169" i="1"/>
  <c r="V169" i="1" a="1"/>
  <c r="U169" i="1"/>
  <c r="T169" i="1"/>
  <c r="T169" i="1" a="1"/>
  <c r="S169" i="1"/>
  <c r="R169" i="1"/>
  <c r="V168" i="1"/>
  <c r="V168" i="1" a="1"/>
  <c r="U168" i="1"/>
  <c r="T168" i="1"/>
  <c r="T168" i="1" a="1"/>
  <c r="S168" i="1"/>
  <c r="R168" i="1"/>
  <c r="V167" i="1"/>
  <c r="V167" i="1" a="1"/>
  <c r="U167" i="1"/>
  <c r="T167" i="1"/>
  <c r="T167" i="1" a="1"/>
  <c r="S167" i="1"/>
  <c r="R167" i="1"/>
  <c r="V166" i="1"/>
  <c r="V166" i="1" a="1"/>
  <c r="U166" i="1"/>
  <c r="T166" i="1"/>
  <c r="T166" i="1" a="1"/>
  <c r="S166" i="1"/>
  <c r="R166" i="1"/>
  <c r="V165" i="1"/>
  <c r="V165" i="1" a="1"/>
  <c r="U165" i="1"/>
  <c r="T165" i="1"/>
  <c r="T165" i="1" a="1"/>
  <c r="S165" i="1"/>
  <c r="R165" i="1"/>
  <c r="V164" i="1"/>
  <c r="V164" i="1" a="1"/>
  <c r="U164" i="1"/>
  <c r="T164" i="1"/>
  <c r="T164" i="1" a="1"/>
  <c r="S164" i="1"/>
  <c r="R164" i="1"/>
  <c r="V163" i="1"/>
  <c r="V163" i="1" a="1"/>
  <c r="U163" i="1"/>
  <c r="T163" i="1"/>
  <c r="T163" i="1" a="1"/>
  <c r="S163" i="1"/>
  <c r="R163" i="1"/>
  <c r="V162" i="1"/>
  <c r="V162" i="1" a="1"/>
  <c r="U162" i="1"/>
  <c r="T162" i="1"/>
  <c r="T162" i="1" a="1"/>
  <c r="S162" i="1"/>
  <c r="R162" i="1"/>
  <c r="V161" i="1"/>
  <c r="V161" i="1" a="1"/>
  <c r="U161" i="1"/>
  <c r="T161" i="1"/>
  <c r="T161" i="1" a="1"/>
  <c r="S161" i="1"/>
  <c r="R161" i="1"/>
  <c r="V160" i="1"/>
  <c r="V160" i="1" a="1"/>
  <c r="U160" i="1"/>
  <c r="T160" i="1"/>
  <c r="T160" i="1" a="1"/>
  <c r="S160" i="1"/>
  <c r="R160" i="1"/>
  <c r="V159" i="1"/>
  <c r="V159" i="1" a="1"/>
  <c r="U159" i="1"/>
  <c r="T159" i="1"/>
  <c r="T159" i="1" a="1"/>
  <c r="S159" i="1"/>
  <c r="R159" i="1"/>
  <c r="V158" i="1"/>
  <c r="V158" i="1" a="1"/>
  <c r="U158" i="1"/>
  <c r="T158" i="1"/>
  <c r="T158" i="1" a="1"/>
  <c r="S158" i="1"/>
  <c r="R158" i="1"/>
  <c r="V157" i="1"/>
  <c r="V157" i="1" a="1"/>
  <c r="U157" i="1"/>
  <c r="T157" i="1"/>
  <c r="T157" i="1" a="1"/>
  <c r="S157" i="1"/>
  <c r="R157" i="1"/>
  <c r="V156" i="1"/>
  <c r="V156" i="1" a="1"/>
  <c r="U156" i="1"/>
  <c r="T156" i="1"/>
  <c r="T156" i="1" a="1"/>
  <c r="S156" i="1"/>
  <c r="R156" i="1"/>
  <c r="V155" i="1"/>
  <c r="V155" i="1" a="1"/>
  <c r="U155" i="1"/>
  <c r="T155" i="1"/>
  <c r="T155" i="1" a="1"/>
  <c r="S155" i="1"/>
  <c r="R155" i="1"/>
  <c r="V154" i="1"/>
  <c r="V154" i="1" a="1"/>
  <c r="U154" i="1"/>
  <c r="T154" i="1"/>
  <c r="T154" i="1" a="1"/>
  <c r="S154" i="1"/>
  <c r="R154" i="1"/>
  <c r="V153" i="1"/>
  <c r="V153" i="1" a="1"/>
  <c r="U153" i="1"/>
  <c r="T153" i="1"/>
  <c r="T153" i="1" a="1"/>
  <c r="S153" i="1"/>
  <c r="R153" i="1"/>
  <c r="V152" i="1"/>
  <c r="V152" i="1" a="1"/>
  <c r="U152" i="1"/>
  <c r="T152" i="1"/>
  <c r="T152" i="1" a="1"/>
  <c r="S152" i="1"/>
  <c r="R152" i="1"/>
  <c r="V151" i="1"/>
  <c r="V151" i="1" a="1"/>
  <c r="U151" i="1"/>
  <c r="T151" i="1"/>
  <c r="T151" i="1" a="1"/>
  <c r="S151" i="1"/>
  <c r="R151" i="1"/>
  <c r="V150" i="1"/>
  <c r="V150" i="1" a="1"/>
  <c r="U150" i="1"/>
  <c r="T150" i="1"/>
  <c r="T150" i="1" a="1"/>
  <c r="S150" i="1"/>
  <c r="R150" i="1"/>
  <c r="V149" i="1"/>
  <c r="V149" i="1" a="1"/>
  <c r="U149" i="1"/>
  <c r="T149" i="1"/>
  <c r="T149" i="1" a="1"/>
  <c r="S149" i="1"/>
  <c r="R149" i="1"/>
  <c r="V148" i="1"/>
  <c r="V148" i="1" a="1"/>
  <c r="U148" i="1"/>
  <c r="T148" i="1"/>
  <c r="T148" i="1" a="1"/>
  <c r="S148" i="1"/>
  <c r="R148" i="1"/>
  <c r="V147" i="1"/>
  <c r="V147" i="1" a="1"/>
  <c r="U147" i="1"/>
  <c r="T147" i="1"/>
  <c r="T147" i="1" a="1"/>
  <c r="S147" i="1"/>
  <c r="R147" i="1"/>
  <c r="V146" i="1"/>
  <c r="V146" i="1" a="1"/>
  <c r="U146" i="1"/>
  <c r="T146" i="1"/>
  <c r="T146" i="1" a="1"/>
  <c r="S146" i="1"/>
  <c r="R146" i="1"/>
  <c r="V145" i="1"/>
  <c r="V145" i="1" a="1"/>
  <c r="U145" i="1"/>
  <c r="T145" i="1"/>
  <c r="T145" i="1" a="1"/>
  <c r="S145" i="1"/>
  <c r="R145" i="1"/>
  <c r="V144" i="1"/>
  <c r="V144" i="1" a="1"/>
  <c r="U144" i="1"/>
  <c r="T144" i="1"/>
  <c r="T144" i="1" a="1"/>
  <c r="S144" i="1"/>
  <c r="R144" i="1"/>
  <c r="V143" i="1"/>
  <c r="V143" i="1" a="1"/>
  <c r="U143" i="1"/>
  <c r="T143" i="1"/>
  <c r="T143" i="1" a="1"/>
  <c r="S143" i="1"/>
  <c r="R143" i="1"/>
  <c r="V142" i="1"/>
  <c r="V142" i="1" a="1"/>
  <c r="U142" i="1"/>
  <c r="T142" i="1"/>
  <c r="T142" i="1" a="1"/>
  <c r="S142" i="1"/>
  <c r="R142" i="1"/>
  <c r="V141" i="1"/>
  <c r="V141" i="1" a="1"/>
  <c r="U141" i="1"/>
  <c r="T141" i="1"/>
  <c r="T141" i="1" a="1"/>
  <c r="S141" i="1"/>
  <c r="R141" i="1"/>
  <c r="V140" i="1"/>
  <c r="V140" i="1" a="1"/>
  <c r="U140" i="1"/>
  <c r="T140" i="1"/>
  <c r="T140" i="1" a="1"/>
  <c r="S140" i="1"/>
  <c r="R140" i="1"/>
  <c r="V139" i="1"/>
  <c r="V139" i="1" a="1"/>
  <c r="U139" i="1"/>
  <c r="T139" i="1"/>
  <c r="T139" i="1" a="1"/>
  <c r="S139" i="1"/>
  <c r="R139" i="1"/>
  <c r="V138" i="1"/>
  <c r="V138" i="1" a="1"/>
  <c r="U138" i="1"/>
  <c r="T138" i="1"/>
  <c r="T138" i="1" a="1"/>
  <c r="S138" i="1"/>
  <c r="R138" i="1"/>
  <c r="V137" i="1"/>
  <c r="V137" i="1" a="1"/>
  <c r="U137" i="1"/>
  <c r="T137" i="1"/>
  <c r="T137" i="1" a="1"/>
  <c r="S137" i="1"/>
  <c r="R137" i="1"/>
  <c r="V136" i="1"/>
  <c r="V136" i="1" a="1"/>
  <c r="U136" i="1"/>
  <c r="T136" i="1"/>
  <c r="T136" i="1" a="1"/>
  <c r="S136" i="1"/>
  <c r="R136" i="1"/>
  <c r="V135" i="1"/>
  <c r="V135" i="1" a="1"/>
  <c r="U135" i="1"/>
  <c r="T135" i="1"/>
  <c r="T135" i="1" a="1"/>
  <c r="S135" i="1"/>
  <c r="R135" i="1"/>
  <c r="V134" i="1"/>
  <c r="V134" i="1" a="1"/>
  <c r="U134" i="1"/>
  <c r="T134" i="1"/>
  <c r="T134" i="1" a="1"/>
  <c r="S134" i="1"/>
  <c r="R134" i="1"/>
  <c r="V133" i="1"/>
  <c r="V133" i="1" a="1"/>
  <c r="U133" i="1"/>
  <c r="T133" i="1"/>
  <c r="T133" i="1" a="1"/>
  <c r="S133" i="1"/>
  <c r="R133" i="1"/>
  <c r="V132" i="1"/>
  <c r="V132" i="1" a="1"/>
  <c r="U132" i="1"/>
  <c r="T132" i="1"/>
  <c r="T132" i="1" a="1"/>
  <c r="S132" i="1"/>
  <c r="R132" i="1"/>
  <c r="V131" i="1"/>
  <c r="V131" i="1" a="1"/>
  <c r="U131" i="1"/>
  <c r="T131" i="1"/>
  <c r="T131" i="1" a="1"/>
  <c r="S131" i="1"/>
  <c r="R131" i="1"/>
  <c r="V130" i="1"/>
  <c r="V130" i="1" a="1"/>
  <c r="U130" i="1"/>
  <c r="T130" i="1"/>
  <c r="T130" i="1" a="1"/>
  <c r="S130" i="1"/>
  <c r="R130" i="1"/>
  <c r="V129" i="1"/>
  <c r="V129" i="1" a="1"/>
  <c r="U129" i="1"/>
  <c r="T129" i="1"/>
  <c r="T129" i="1" a="1"/>
  <c r="S129" i="1"/>
  <c r="R129" i="1"/>
  <c r="V128" i="1"/>
  <c r="V128" i="1" a="1"/>
  <c r="U128" i="1"/>
  <c r="T128" i="1"/>
  <c r="T128" i="1" a="1"/>
  <c r="S128" i="1"/>
  <c r="R128" i="1"/>
  <c r="V127" i="1"/>
  <c r="V127" i="1" a="1"/>
  <c r="U127" i="1"/>
  <c r="T127" i="1"/>
  <c r="T127" i="1" a="1"/>
  <c r="S127" i="1"/>
  <c r="R127" i="1"/>
  <c r="V126" i="1"/>
  <c r="V126" i="1" a="1"/>
  <c r="U126" i="1"/>
  <c r="T126" i="1"/>
  <c r="T126" i="1" a="1"/>
  <c r="S126" i="1"/>
  <c r="R126" i="1"/>
  <c r="V125" i="1"/>
  <c r="V125" i="1" a="1"/>
  <c r="U125" i="1"/>
  <c r="T125" i="1"/>
  <c r="T125" i="1" a="1"/>
  <c r="S125" i="1"/>
  <c r="R125" i="1"/>
  <c r="V124" i="1"/>
  <c r="V124" i="1" a="1"/>
  <c r="U124" i="1"/>
  <c r="T124" i="1"/>
  <c r="T124" i="1" a="1"/>
  <c r="S124" i="1"/>
  <c r="R124" i="1"/>
  <c r="V123" i="1"/>
  <c r="V123" i="1" a="1"/>
  <c r="U123" i="1"/>
  <c r="T123" i="1"/>
  <c r="T123" i="1" a="1"/>
  <c r="S123" i="1"/>
  <c r="R123" i="1"/>
  <c r="V122" i="1"/>
  <c r="V122" i="1" a="1"/>
  <c r="U122" i="1"/>
  <c r="T122" i="1"/>
  <c r="T122" i="1" a="1"/>
  <c r="S122" i="1"/>
  <c r="R122" i="1"/>
  <c r="V121" i="1"/>
  <c r="V121" i="1" a="1"/>
  <c r="U121" i="1"/>
  <c r="T121" i="1"/>
  <c r="T121" i="1" a="1"/>
  <c r="S121" i="1"/>
  <c r="R121" i="1"/>
  <c r="V120" i="1"/>
  <c r="V120" i="1" a="1"/>
  <c r="U120" i="1"/>
  <c r="T120" i="1"/>
  <c r="T120" i="1" a="1"/>
  <c r="S120" i="1"/>
  <c r="R120" i="1"/>
  <c r="V119" i="1"/>
  <c r="V119" i="1" a="1"/>
  <c r="U119" i="1"/>
  <c r="T119" i="1"/>
  <c r="T119" i="1" a="1"/>
  <c r="S119" i="1"/>
  <c r="R119" i="1"/>
  <c r="V118" i="1"/>
  <c r="V118" i="1" a="1"/>
  <c r="U118" i="1"/>
  <c r="T118" i="1"/>
  <c r="T118" i="1" a="1"/>
  <c r="S118" i="1"/>
  <c r="R118" i="1"/>
  <c r="V117" i="1"/>
  <c r="V117" i="1" a="1"/>
  <c r="U117" i="1"/>
  <c r="T117" i="1"/>
  <c r="T117" i="1" a="1"/>
  <c r="S117" i="1"/>
  <c r="R117" i="1"/>
  <c r="V116" i="1"/>
  <c r="V116" i="1" a="1"/>
  <c r="U116" i="1"/>
  <c r="T116" i="1"/>
  <c r="T116" i="1" a="1"/>
  <c r="S116" i="1"/>
  <c r="R116" i="1"/>
  <c r="V115" i="1"/>
  <c r="V115" i="1" a="1"/>
  <c r="U115" i="1"/>
  <c r="T115" i="1"/>
  <c r="T115" i="1" a="1"/>
  <c r="S115" i="1"/>
  <c r="R115" i="1"/>
  <c r="V114" i="1"/>
  <c r="V114" i="1" a="1"/>
  <c r="U114" i="1"/>
  <c r="T114" i="1"/>
  <c r="T114" i="1" a="1"/>
  <c r="S114" i="1"/>
  <c r="R114" i="1"/>
  <c r="V113" i="1"/>
  <c r="V113" i="1" a="1"/>
  <c r="U113" i="1"/>
  <c r="T113" i="1"/>
  <c r="T113" i="1" a="1"/>
  <c r="S113" i="1"/>
  <c r="R113" i="1"/>
  <c r="V112" i="1"/>
  <c r="V112" i="1" a="1"/>
  <c r="U112" i="1"/>
  <c r="T112" i="1"/>
  <c r="T112" i="1" a="1"/>
  <c r="S112" i="1"/>
  <c r="R112" i="1"/>
  <c r="V111" i="1"/>
  <c r="V111" i="1" a="1"/>
  <c r="U111" i="1"/>
  <c r="T111" i="1"/>
  <c r="T111" i="1" a="1"/>
  <c r="S111" i="1"/>
  <c r="R111" i="1"/>
  <c r="V110" i="1"/>
  <c r="V110" i="1" a="1"/>
  <c r="U110" i="1"/>
  <c r="T110" i="1"/>
  <c r="T110" i="1" a="1"/>
  <c r="S110" i="1"/>
  <c r="R110" i="1"/>
  <c r="V109" i="1"/>
  <c r="V109" i="1" a="1"/>
  <c r="U109" i="1"/>
  <c r="T109" i="1"/>
  <c r="T109" i="1" a="1"/>
  <c r="S109" i="1"/>
  <c r="R109" i="1"/>
  <c r="V108" i="1"/>
  <c r="V108" i="1" a="1"/>
  <c r="U108" i="1"/>
  <c r="T108" i="1"/>
  <c r="T108" i="1" a="1"/>
  <c r="S108" i="1"/>
  <c r="R108" i="1"/>
  <c r="V107" i="1"/>
  <c r="V107" i="1" a="1"/>
  <c r="U107" i="1"/>
  <c r="T107" i="1"/>
  <c r="T107" i="1" a="1"/>
  <c r="S107" i="1"/>
  <c r="R107" i="1"/>
  <c r="V106" i="1"/>
  <c r="V106" i="1" a="1"/>
  <c r="U106" i="1"/>
  <c r="T106" i="1"/>
  <c r="T106" i="1" a="1"/>
  <c r="S106" i="1"/>
  <c r="R106" i="1"/>
  <c r="V105" i="1"/>
  <c r="V105" i="1" a="1"/>
  <c r="U105" i="1"/>
  <c r="T105" i="1"/>
  <c r="T105" i="1" a="1"/>
  <c r="S105" i="1"/>
  <c r="R105" i="1"/>
  <c r="V104" i="1"/>
  <c r="V104" i="1" a="1"/>
  <c r="U104" i="1"/>
  <c r="T104" i="1"/>
  <c r="T104" i="1" a="1"/>
  <c r="S104" i="1"/>
  <c r="R104" i="1"/>
  <c r="V103" i="1"/>
  <c r="V103" i="1" a="1"/>
  <c r="U103" i="1"/>
  <c r="T103" i="1"/>
  <c r="T103" i="1" a="1"/>
  <c r="S103" i="1"/>
  <c r="R103" i="1"/>
  <c r="V102" i="1"/>
  <c r="V102" i="1" a="1"/>
  <c r="U102" i="1"/>
  <c r="T102" i="1"/>
  <c r="T102" i="1" a="1"/>
  <c r="S102" i="1"/>
  <c r="R102" i="1"/>
  <c r="V101" i="1"/>
  <c r="V101" i="1" a="1"/>
  <c r="U101" i="1"/>
  <c r="T101" i="1"/>
  <c r="T101" i="1" a="1"/>
  <c r="S101" i="1"/>
  <c r="R101" i="1"/>
  <c r="V100" i="1"/>
  <c r="V100" i="1" a="1"/>
  <c r="U100" i="1"/>
  <c r="T100" i="1"/>
  <c r="T100" i="1" a="1"/>
  <c r="S100" i="1"/>
  <c r="R100" i="1"/>
  <c r="V99" i="1"/>
  <c r="V99" i="1" a="1"/>
  <c r="U99" i="1"/>
  <c r="T99" i="1"/>
  <c r="T99" i="1" a="1"/>
  <c r="S99" i="1"/>
  <c r="R99" i="1"/>
  <c r="V98" i="1"/>
  <c r="V98" i="1" a="1"/>
  <c r="U98" i="1"/>
  <c r="T98" i="1"/>
  <c r="T98" i="1" a="1"/>
  <c r="S98" i="1"/>
  <c r="R98" i="1"/>
  <c r="V97" i="1"/>
  <c r="V97" i="1" a="1"/>
  <c r="U97" i="1"/>
  <c r="T97" i="1"/>
  <c r="T97" i="1" a="1"/>
  <c r="S97" i="1"/>
  <c r="R97" i="1"/>
  <c r="V96" i="1"/>
  <c r="V96" i="1" a="1"/>
  <c r="U96" i="1"/>
  <c r="T96" i="1"/>
  <c r="T96" i="1" a="1"/>
  <c r="S96" i="1"/>
  <c r="R96" i="1"/>
  <c r="V95" i="1"/>
  <c r="V95" i="1" a="1"/>
  <c r="U95" i="1"/>
  <c r="T95" i="1"/>
  <c r="T95" i="1" a="1"/>
  <c r="S95" i="1"/>
  <c r="R95" i="1"/>
  <c r="V94" i="1"/>
  <c r="V94" i="1" a="1"/>
  <c r="U94" i="1"/>
  <c r="T94" i="1"/>
  <c r="T94" i="1" a="1"/>
  <c r="S94" i="1"/>
  <c r="R94" i="1"/>
  <c r="V93" i="1"/>
  <c r="V93" i="1" a="1"/>
  <c r="U93" i="1"/>
  <c r="T93" i="1"/>
  <c r="T93" i="1" a="1"/>
  <c r="S93" i="1"/>
  <c r="R93" i="1"/>
  <c r="V92" i="1"/>
  <c r="V92" i="1" a="1"/>
  <c r="U92" i="1"/>
  <c r="T92" i="1"/>
  <c r="T92" i="1" a="1"/>
  <c r="S92" i="1"/>
  <c r="R92" i="1"/>
  <c r="V91" i="1"/>
  <c r="V91" i="1" a="1"/>
  <c r="U91" i="1"/>
  <c r="T91" i="1"/>
  <c r="T91" i="1" a="1"/>
  <c r="S91" i="1"/>
  <c r="R91" i="1"/>
  <c r="V90" i="1"/>
  <c r="V90" i="1" a="1"/>
  <c r="U90" i="1"/>
  <c r="T90" i="1"/>
  <c r="T90" i="1" a="1"/>
  <c r="S90" i="1"/>
  <c r="R90" i="1"/>
  <c r="V89" i="1"/>
  <c r="V89" i="1" a="1"/>
  <c r="U89" i="1"/>
  <c r="T89" i="1"/>
  <c r="T89" i="1" a="1"/>
  <c r="S89" i="1"/>
  <c r="R89" i="1"/>
  <c r="V88" i="1"/>
  <c r="V88" i="1" a="1"/>
  <c r="U88" i="1"/>
  <c r="T88" i="1"/>
  <c r="T88" i="1" a="1"/>
  <c r="S88" i="1"/>
  <c r="R88" i="1"/>
  <c r="V87" i="1"/>
  <c r="V87" i="1" a="1"/>
  <c r="U87" i="1"/>
  <c r="T87" i="1"/>
  <c r="T87" i="1" a="1"/>
  <c r="S87" i="1"/>
  <c r="R87" i="1"/>
  <c r="V86" i="1"/>
  <c r="V86" i="1" a="1"/>
  <c r="U86" i="1"/>
  <c r="T86" i="1"/>
  <c r="T86" i="1" a="1"/>
  <c r="S86" i="1"/>
  <c r="R86" i="1"/>
  <c r="V85" i="1"/>
  <c r="V85" i="1" a="1"/>
  <c r="U85" i="1"/>
  <c r="T85" i="1"/>
  <c r="T85" i="1" a="1"/>
  <c r="S85" i="1"/>
  <c r="R85" i="1"/>
  <c r="V84" i="1"/>
  <c r="V84" i="1" a="1"/>
  <c r="U84" i="1"/>
  <c r="T84" i="1"/>
  <c r="T84" i="1" a="1"/>
  <c r="S84" i="1"/>
  <c r="R84" i="1"/>
  <c r="V83" i="1"/>
  <c r="V83" i="1" a="1"/>
  <c r="U83" i="1"/>
  <c r="T83" i="1"/>
  <c r="T83" i="1" a="1"/>
  <c r="S83" i="1"/>
  <c r="R83" i="1"/>
  <c r="V82" i="1"/>
  <c r="V82" i="1" a="1"/>
  <c r="U82" i="1"/>
  <c r="T82" i="1"/>
  <c r="T82" i="1" a="1"/>
  <c r="S82" i="1"/>
  <c r="R82" i="1"/>
  <c r="V81" i="1"/>
  <c r="V81" i="1" a="1"/>
  <c r="U81" i="1"/>
  <c r="T81" i="1"/>
  <c r="T81" i="1" a="1"/>
  <c r="S81" i="1"/>
  <c r="R81" i="1"/>
  <c r="V80" i="1"/>
  <c r="V80" i="1" a="1"/>
  <c r="U80" i="1"/>
  <c r="T80" i="1"/>
  <c r="T80" i="1" a="1"/>
  <c r="S80" i="1"/>
  <c r="R80" i="1"/>
  <c r="V79" i="1"/>
  <c r="V79" i="1" a="1"/>
  <c r="U79" i="1"/>
  <c r="T79" i="1"/>
  <c r="T79" i="1" a="1"/>
  <c r="S79" i="1"/>
  <c r="R79" i="1"/>
  <c r="V78" i="1"/>
  <c r="V78" i="1" a="1"/>
  <c r="U78" i="1"/>
  <c r="T78" i="1"/>
  <c r="T78" i="1" a="1"/>
  <c r="S78" i="1"/>
  <c r="R78" i="1"/>
  <c r="V77" i="1"/>
  <c r="V77" i="1" a="1"/>
  <c r="U77" i="1"/>
  <c r="T77" i="1"/>
  <c r="T77" i="1" a="1"/>
  <c r="S77" i="1"/>
  <c r="R77" i="1"/>
  <c r="V76" i="1"/>
  <c r="V76" i="1" a="1"/>
  <c r="U76" i="1"/>
  <c r="T76" i="1"/>
  <c r="T76" i="1" a="1"/>
  <c r="S76" i="1"/>
  <c r="R76" i="1"/>
  <c r="V75" i="1"/>
  <c r="V75" i="1" a="1"/>
  <c r="U75" i="1"/>
  <c r="T75" i="1"/>
  <c r="T75" i="1" a="1"/>
  <c r="S75" i="1"/>
  <c r="R75" i="1"/>
  <c r="V74" i="1"/>
  <c r="V74" i="1" a="1"/>
  <c r="U74" i="1"/>
  <c r="T74" i="1"/>
  <c r="T74" i="1" a="1"/>
  <c r="S74" i="1"/>
  <c r="R74" i="1"/>
  <c r="V73" i="1"/>
  <c r="V73" i="1" a="1"/>
  <c r="U73" i="1"/>
  <c r="T73" i="1"/>
  <c r="T73" i="1" a="1"/>
  <c r="S73" i="1"/>
  <c r="R73" i="1"/>
  <c r="V72" i="1"/>
  <c r="V72" i="1" a="1"/>
  <c r="U72" i="1"/>
  <c r="T72" i="1"/>
  <c r="T72" i="1" a="1"/>
  <c r="S72" i="1"/>
  <c r="R72" i="1"/>
  <c r="V71" i="1"/>
  <c r="V71" i="1" a="1"/>
  <c r="U71" i="1"/>
  <c r="T71" i="1"/>
  <c r="T71" i="1" a="1"/>
  <c r="S71" i="1"/>
  <c r="R71" i="1"/>
  <c r="V70" i="1"/>
  <c r="V70" i="1" a="1"/>
  <c r="U70" i="1"/>
  <c r="T70" i="1"/>
  <c r="T70" i="1" a="1"/>
  <c r="S70" i="1"/>
  <c r="R70" i="1"/>
  <c r="V69" i="1"/>
  <c r="V69" i="1" a="1"/>
  <c r="U69" i="1"/>
  <c r="T69" i="1"/>
  <c r="T69" i="1" a="1"/>
  <c r="S69" i="1"/>
  <c r="R69" i="1"/>
  <c r="V68" i="1"/>
  <c r="V68" i="1" a="1"/>
  <c r="U68" i="1"/>
  <c r="T68" i="1"/>
  <c r="T68" i="1" a="1"/>
  <c r="S68" i="1"/>
  <c r="R68" i="1"/>
  <c r="V67" i="1"/>
  <c r="V67" i="1" a="1"/>
  <c r="U67" i="1"/>
  <c r="T67" i="1"/>
  <c r="T67" i="1" a="1"/>
  <c r="S67" i="1"/>
  <c r="R67" i="1"/>
  <c r="V66" i="1"/>
  <c r="V66" i="1" a="1"/>
  <c r="U66" i="1"/>
  <c r="T66" i="1"/>
  <c r="T66" i="1" a="1"/>
  <c r="S66" i="1"/>
  <c r="R66" i="1"/>
  <c r="V65" i="1"/>
  <c r="V65" i="1" a="1"/>
  <c r="U65" i="1"/>
  <c r="T65" i="1"/>
  <c r="T65" i="1" a="1"/>
  <c r="S65" i="1"/>
  <c r="R65" i="1"/>
  <c r="V64" i="1"/>
  <c r="V64" i="1" a="1"/>
  <c r="U64" i="1"/>
  <c r="T64" i="1"/>
  <c r="T64" i="1" a="1"/>
  <c r="S64" i="1"/>
  <c r="R64" i="1"/>
  <c r="V63" i="1"/>
  <c r="V63" i="1" a="1"/>
  <c r="U63" i="1"/>
  <c r="T63" i="1"/>
  <c r="T63" i="1" a="1"/>
  <c r="S63" i="1"/>
  <c r="R63" i="1"/>
  <c r="V62" i="1"/>
  <c r="V62" i="1" a="1"/>
  <c r="U62" i="1"/>
  <c r="T62" i="1"/>
  <c r="T62" i="1" a="1"/>
  <c r="S62" i="1"/>
  <c r="R62" i="1"/>
  <c r="V61" i="1"/>
  <c r="V61" i="1" a="1"/>
  <c r="U61" i="1"/>
  <c r="T61" i="1"/>
  <c r="T61" i="1" a="1"/>
  <c r="S61" i="1"/>
  <c r="R61" i="1"/>
  <c r="V60" i="1"/>
  <c r="V60" i="1" a="1"/>
  <c r="U60" i="1"/>
  <c r="T60" i="1"/>
  <c r="T60" i="1" a="1"/>
  <c r="S60" i="1"/>
  <c r="R60" i="1"/>
  <c r="V59" i="1"/>
  <c r="V59" i="1" a="1"/>
  <c r="U59" i="1"/>
  <c r="T59" i="1"/>
  <c r="T59" i="1" a="1"/>
  <c r="S59" i="1"/>
  <c r="R59" i="1"/>
  <c r="V58" i="1"/>
  <c r="V58" i="1" a="1"/>
  <c r="U58" i="1"/>
  <c r="T58" i="1"/>
  <c r="T58" i="1" a="1"/>
  <c r="S58" i="1"/>
  <c r="R58" i="1"/>
  <c r="V57" i="1"/>
  <c r="V57" i="1" a="1"/>
  <c r="U57" i="1"/>
  <c r="T57" i="1"/>
  <c r="T57" i="1" a="1"/>
  <c r="S57" i="1"/>
  <c r="R57" i="1"/>
  <c r="V56" i="1"/>
  <c r="V56" i="1" a="1"/>
  <c r="U56" i="1"/>
  <c r="T56" i="1"/>
  <c r="T56" i="1" a="1"/>
  <c r="S56" i="1"/>
  <c r="R56" i="1"/>
  <c r="V55" i="1"/>
  <c r="V55" i="1" a="1"/>
  <c r="U55" i="1"/>
  <c r="T55" i="1"/>
  <c r="T55" i="1" a="1"/>
  <c r="S55" i="1"/>
  <c r="R55" i="1"/>
  <c r="V54" i="1"/>
  <c r="V54" i="1" a="1"/>
  <c r="U54" i="1"/>
  <c r="T54" i="1"/>
  <c r="T54" i="1" a="1"/>
  <c r="S54" i="1"/>
  <c r="R54" i="1"/>
  <c r="V53" i="1"/>
  <c r="V53" i="1" a="1"/>
  <c r="U53" i="1"/>
  <c r="T53" i="1"/>
  <c r="T53" i="1" a="1"/>
  <c r="S53" i="1"/>
  <c r="R53" i="1"/>
  <c r="V52" i="1"/>
  <c r="V52" i="1" a="1"/>
  <c r="U52" i="1"/>
  <c r="T52" i="1"/>
  <c r="T52" i="1" a="1"/>
  <c r="S52" i="1"/>
  <c r="R52" i="1"/>
  <c r="V51" i="1"/>
  <c r="V51" i="1" a="1"/>
  <c r="U51" i="1"/>
  <c r="T51" i="1"/>
  <c r="T51" i="1" a="1"/>
  <c r="S51" i="1"/>
  <c r="R51" i="1"/>
  <c r="V50" i="1"/>
  <c r="V50" i="1" a="1"/>
  <c r="U50" i="1"/>
  <c r="T50" i="1"/>
  <c r="T50" i="1" a="1"/>
  <c r="S50" i="1"/>
  <c r="R50" i="1"/>
  <c r="V49" i="1"/>
  <c r="V49" i="1" a="1"/>
  <c r="U49" i="1"/>
  <c r="T49" i="1"/>
  <c r="T49" i="1" a="1"/>
  <c r="S49" i="1"/>
  <c r="R49" i="1"/>
  <c r="V48" i="1"/>
  <c r="V48" i="1" a="1"/>
  <c r="U48" i="1"/>
  <c r="T48" i="1"/>
  <c r="T48" i="1" a="1"/>
  <c r="S48" i="1"/>
  <c r="R48" i="1"/>
  <c r="V47" i="1"/>
  <c r="V47" i="1" a="1"/>
  <c r="U47" i="1"/>
  <c r="T47" i="1"/>
  <c r="T47" i="1" a="1"/>
  <c r="S47" i="1"/>
  <c r="R47" i="1"/>
  <c r="V46" i="1"/>
  <c r="V46" i="1" a="1"/>
  <c r="U46" i="1"/>
  <c r="T46" i="1"/>
  <c r="T46" i="1" a="1"/>
  <c r="S46" i="1"/>
  <c r="R46" i="1"/>
  <c r="V45" i="1"/>
  <c r="V45" i="1" a="1"/>
  <c r="U45" i="1"/>
  <c r="T45" i="1"/>
  <c r="T45" i="1" a="1"/>
  <c r="S45" i="1"/>
  <c r="R45" i="1"/>
  <c r="V44" i="1"/>
  <c r="V44" i="1" a="1"/>
  <c r="U44" i="1"/>
  <c r="T44" i="1"/>
  <c r="T44" i="1" a="1"/>
  <c r="S44" i="1"/>
  <c r="R44" i="1"/>
  <c r="V43" i="1"/>
  <c r="V43" i="1" a="1"/>
  <c r="U43" i="1"/>
  <c r="T43" i="1"/>
  <c r="T43" i="1" a="1"/>
  <c r="S43" i="1"/>
  <c r="R43" i="1"/>
  <c r="V42" i="1"/>
  <c r="V42" i="1" a="1"/>
  <c r="U42" i="1"/>
  <c r="T42" i="1"/>
  <c r="T42" i="1" a="1"/>
  <c r="S42" i="1"/>
  <c r="R42" i="1"/>
  <c r="V41" i="1"/>
  <c r="V41" i="1" a="1"/>
  <c r="U41" i="1"/>
  <c r="T41" i="1"/>
  <c r="T41" i="1" a="1"/>
  <c r="S41" i="1"/>
  <c r="R41" i="1"/>
  <c r="V40" i="1"/>
  <c r="V40" i="1" a="1"/>
  <c r="U40" i="1"/>
  <c r="T40" i="1"/>
  <c r="T40" i="1" a="1"/>
  <c r="S40" i="1"/>
  <c r="R40" i="1"/>
  <c r="V39" i="1"/>
  <c r="V39" i="1" a="1"/>
  <c r="U39" i="1"/>
  <c r="T39" i="1"/>
  <c r="T39" i="1" a="1"/>
  <c r="S39" i="1"/>
  <c r="R39" i="1"/>
  <c r="V38" i="1"/>
  <c r="V38" i="1" a="1"/>
  <c r="U38" i="1"/>
  <c r="T38" i="1"/>
  <c r="T38" i="1" a="1"/>
  <c r="S38" i="1"/>
  <c r="R38" i="1"/>
  <c r="V37" i="1"/>
  <c r="V37" i="1" a="1"/>
  <c r="U37" i="1"/>
  <c r="T37" i="1"/>
  <c r="T37" i="1" a="1"/>
  <c r="S37" i="1"/>
  <c r="R37" i="1"/>
  <c r="V36" i="1"/>
  <c r="V36" i="1" a="1"/>
  <c r="U36" i="1"/>
  <c r="T36" i="1"/>
  <c r="T36" i="1" a="1"/>
  <c r="S36" i="1"/>
  <c r="R36" i="1"/>
  <c r="V35" i="1"/>
  <c r="V35" i="1" a="1"/>
  <c r="U35" i="1"/>
  <c r="T35" i="1"/>
  <c r="T35" i="1" a="1"/>
  <c r="S35" i="1"/>
  <c r="R35" i="1"/>
  <c r="V34" i="1"/>
  <c r="V34" i="1" a="1"/>
  <c r="U34" i="1"/>
  <c r="T34" i="1"/>
  <c r="T34" i="1" a="1"/>
  <c r="S34" i="1"/>
  <c r="R34" i="1"/>
  <c r="V33" i="1"/>
  <c r="V33" i="1" a="1"/>
  <c r="U33" i="1"/>
  <c r="T33" i="1"/>
  <c r="T33" i="1" a="1"/>
  <c r="S33" i="1"/>
  <c r="R33" i="1"/>
  <c r="V32" i="1"/>
  <c r="V32" i="1" a="1"/>
  <c r="U32" i="1"/>
  <c r="T32" i="1"/>
  <c r="T32" i="1" a="1"/>
  <c r="S32" i="1"/>
  <c r="R32" i="1"/>
  <c r="V31" i="1"/>
  <c r="V31" i="1" a="1"/>
  <c r="U31" i="1"/>
  <c r="T31" i="1"/>
  <c r="T31" i="1" a="1"/>
  <c r="S31" i="1"/>
  <c r="R31" i="1"/>
  <c r="V30" i="1"/>
  <c r="V30" i="1" a="1"/>
  <c r="U30" i="1"/>
  <c r="T30" i="1"/>
  <c r="T30" i="1" a="1"/>
  <c r="S30" i="1"/>
  <c r="R30" i="1"/>
  <c r="V29" i="1"/>
  <c r="V29" i="1" a="1"/>
  <c r="U29" i="1"/>
  <c r="T29" i="1"/>
  <c r="T29" i="1" a="1"/>
  <c r="S29" i="1"/>
  <c r="R29" i="1"/>
  <c r="V28" i="1"/>
  <c r="V28" i="1" a="1"/>
  <c r="U28" i="1"/>
  <c r="T28" i="1"/>
  <c r="T28" i="1" a="1"/>
  <c r="S28" i="1"/>
  <c r="R28" i="1"/>
  <c r="V27" i="1"/>
  <c r="V27" i="1" a="1"/>
  <c r="U27" i="1"/>
  <c r="T27" i="1"/>
  <c r="T27" i="1" a="1"/>
  <c r="S27" i="1"/>
  <c r="R27" i="1"/>
  <c r="V26" i="1"/>
  <c r="V26" i="1" a="1"/>
  <c r="U26" i="1"/>
  <c r="T26" i="1"/>
  <c r="T26" i="1" a="1"/>
  <c r="S26" i="1"/>
  <c r="R26" i="1"/>
  <c r="V25" i="1"/>
  <c r="V25" i="1" a="1"/>
  <c r="U25" i="1"/>
  <c r="T25" i="1"/>
  <c r="T25" i="1" a="1"/>
  <c r="S25" i="1"/>
  <c r="R25" i="1"/>
  <c r="V24" i="1"/>
  <c r="V24" i="1" a="1"/>
  <c r="U24" i="1"/>
  <c r="T24" i="1"/>
  <c r="T24" i="1" a="1"/>
  <c r="S24" i="1"/>
  <c r="R24" i="1"/>
  <c r="V23" i="1"/>
  <c r="V23" i="1" a="1"/>
  <c r="U23" i="1"/>
  <c r="T23" i="1"/>
  <c r="T23" i="1" a="1"/>
  <c r="S23" i="1"/>
  <c r="R23" i="1"/>
  <c r="V22" i="1"/>
  <c r="V22" i="1" a="1"/>
  <c r="U22" i="1"/>
  <c r="T22" i="1"/>
  <c r="T22" i="1" a="1"/>
  <c r="S22" i="1"/>
  <c r="R22" i="1"/>
  <c r="V21" i="1"/>
  <c r="V21" i="1" a="1"/>
  <c r="U21" i="1"/>
  <c r="T21" i="1"/>
  <c r="T21" i="1" a="1"/>
  <c r="S21" i="1"/>
  <c r="R21" i="1"/>
  <c r="V20" i="1"/>
  <c r="V20" i="1" a="1"/>
  <c r="U20" i="1"/>
  <c r="T20" i="1"/>
  <c r="T20" i="1" a="1"/>
  <c r="S20" i="1"/>
  <c r="R20" i="1"/>
  <c r="V19" i="1"/>
  <c r="V19" i="1" a="1"/>
  <c r="U19" i="1"/>
  <c r="T19" i="1"/>
  <c r="T19" i="1" a="1"/>
  <c r="S19" i="1"/>
  <c r="R19" i="1"/>
  <c r="V18" i="1"/>
  <c r="V18" i="1" a="1"/>
  <c r="U18" i="1"/>
  <c r="T18" i="1"/>
  <c r="T18" i="1" a="1"/>
  <c r="S18" i="1"/>
  <c r="R18" i="1"/>
  <c r="V17" i="1"/>
  <c r="V17" i="1" a="1"/>
  <c r="U17" i="1"/>
  <c r="T17" i="1"/>
  <c r="T17" i="1" a="1"/>
  <c r="S17" i="1"/>
  <c r="R17" i="1"/>
  <c r="V16" i="1"/>
  <c r="V16" i="1" a="1"/>
  <c r="U16" i="1"/>
  <c r="T16" i="1"/>
  <c r="T16" i="1" a="1"/>
  <c r="S16" i="1"/>
  <c r="R16" i="1"/>
  <c r="V15" i="1"/>
  <c r="V15" i="1" a="1"/>
  <c r="U15" i="1"/>
  <c r="T15" i="1"/>
  <c r="T15" i="1" a="1"/>
  <c r="S15" i="1"/>
  <c r="R15" i="1"/>
  <c r="V14" i="1"/>
  <c r="V14" i="1" a="1"/>
  <c r="U14" i="1"/>
  <c r="T14" i="1"/>
  <c r="T14" i="1" a="1"/>
  <c r="S14" i="1"/>
  <c r="R14" i="1"/>
  <c r="V13" i="1"/>
  <c r="V13" i="1" a="1"/>
  <c r="U13" i="1"/>
  <c r="T13" i="1"/>
  <c r="T13" i="1" a="1"/>
  <c r="S13" i="1"/>
  <c r="R13" i="1"/>
  <c r="V12" i="1"/>
  <c r="V12" i="1" a="1"/>
  <c r="U12" i="1"/>
  <c r="T12" i="1"/>
  <c r="T12" i="1" a="1"/>
  <c r="S12" i="1"/>
  <c r="R12" i="1"/>
  <c r="V11" i="1"/>
  <c r="V11" i="1" a="1"/>
  <c r="U11" i="1"/>
  <c r="T11" i="1"/>
  <c r="T11" i="1" a="1"/>
  <c r="S11" i="1"/>
  <c r="R11" i="1"/>
  <c r="V10" i="1"/>
  <c r="V10" i="1" a="1"/>
  <c r="U10" i="1"/>
  <c r="T10" i="1"/>
  <c r="T10" i="1" a="1"/>
  <c r="S10" i="1"/>
  <c r="R10" i="1"/>
  <c r="V9" i="1"/>
  <c r="V9" i="1" a="1"/>
  <c r="U9" i="1"/>
  <c r="T9" i="1"/>
  <c r="T9" i="1" a="1"/>
  <c r="S9" i="1"/>
  <c r="R9" i="1"/>
  <c r="V8" i="1"/>
  <c r="V8" i="1" a="1"/>
  <c r="U8" i="1"/>
  <c r="T8" i="1"/>
  <c r="T8" i="1" a="1"/>
  <c r="S8" i="1"/>
  <c r="R8" i="1"/>
  <c r="V7" i="1"/>
  <c r="V7" i="1" a="1"/>
  <c r="U7" i="1"/>
  <c r="T7" i="1"/>
  <c r="T7" i="1" a="1"/>
  <c r="S7" i="1"/>
  <c r="R7" i="1"/>
  <c r="V6" i="1"/>
  <c r="V6" i="1" a="1"/>
  <c r="U6" i="1"/>
  <c r="T6" i="1"/>
  <c r="T6" i="1" a="1"/>
  <c r="S6" i="1"/>
  <c r="R6" i="1"/>
  <c r="V5" i="1"/>
  <c r="V5" i="1" a="1"/>
  <c r="U5" i="1"/>
  <c r="T5" i="1"/>
  <c r="T5" i="1" a="1"/>
  <c r="S5" i="1"/>
  <c r="R5" i="1"/>
  <c r="V4" i="1"/>
  <c r="V4" i="1" a="1"/>
  <c r="U4" i="1"/>
  <c r="T4" i="1"/>
  <c r="T4" i="1" a="1"/>
  <c r="S4" i="1"/>
  <c r="R4" i="1"/>
  <c r="V3" i="1"/>
  <c r="V3" i="1" a="1"/>
  <c r="U3" i="1"/>
  <c r="T3" i="1"/>
  <c r="T3" i="1" a="1"/>
  <c r="S3" i="1"/>
  <c r="R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<sst xmlns="http://schemas.openxmlformats.org/spreadsheetml/2006/main" count="7658" uniqueCount="1109">
  <si>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</si>
  <si>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</si>
  <si>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</si>
  <si>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</si>
  <si>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</si>
  <si>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</si>
  <si>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</si>
  <si>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</si>
  <si>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</si>
  <si>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</si>
  <si>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</si>
  <si>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</si>
  <si>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</si>
  <si>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</si>
  <si>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</si>
  <si>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</si>
  <si>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</si>
  <si>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</si>
  <si>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</si>
  <si>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</si>
  <si>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</si>
  <si>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</si>
  <si>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</si>
  <si>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</si>
  <si>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</si>
  <si>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</si>
  <si>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</si>
  <si>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</si>
  <si>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</si>
  <si>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</si>
  <si>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</si>
  <si>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</si>
  <si>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</si>
  <si>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</si>
  <si>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</si>
  <si>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</si>
  <si>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</si>
  <si>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</si>
  <si>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</si>
  <si>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</si>
  <si>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</si>
  <si>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</si>
  <si>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</si>
  <si>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</si>
  <si>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</si>
  <si>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</si>
  <si>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</si>
  <si>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</si>
  <si>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</si>
  <si>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</si>
  <si>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</si>
  <si>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</si>
  <si>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</si>
  <si>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</si>
  <si>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</si>
  <si>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</si>
  <si>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</si>
  <si>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</si>
  <si>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</si>
  <si>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</si>
  <si>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</si>
  <si>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</si>
  <si>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</si>
  <si>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</si>
  <si>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</si>
  <si>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</si>
  <si>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</si>
  <si>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</si>
  <si>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</si>
  <si>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</si>
  <si>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</si>
  <si>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</si>
  <si>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</si>
  <si>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</si>
  <si>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</si>
  <si>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</si>
  <si>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</si>
  <si>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</si>
  <si>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</si>
  <si>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</si>
  <si>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</si>
  <si>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</si>
  <si>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</si>
  <si>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</si>
  <si>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</si>
  <si>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</si>
  <si>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</si>
  <si>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</si>
  <si>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</si>
  <si>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</si>
  <si>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</si>
  <si>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</si>
  <si>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</si>
  <si>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</si>
  <si>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</si>
  <si>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</si>
  <si>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</si>
  <si>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</si>
  <si>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</si>
  <si>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</si>
  <si>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</si>
  <si>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</si>
  <si>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</si>
  <si>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</si>
  <si>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</si>
  <si>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</si>
  <si>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</si>
  <si>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</si>
  <si>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</si>
  <si>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</si>
  <si>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</si>
  <si>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</si>
  <si>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</si>
  <si>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</si>
  <si>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</si>
  <si>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</si>
  <si>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</si>
  <si>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</si>
  <si>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</si>
  <si>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</si>
  <si>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</si>
  <si>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</si>
  <si>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</si>
  <si>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</si>
  <si>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</si>
  <si>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</si>
  <si>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</si>
  <si>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</si>
  <si>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</si>
  <si>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</si>
  <si>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</si>
  <si>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</si>
  <si>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</si>
  <si>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</si>
  <si>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</si>
  <si>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</si>
  <si>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</si>
  <si>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</si>
  <si>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</si>
  <si>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</si>
  <si>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</si>
  <si>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</si>
  <si>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</si>
  <si>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</si>
  <si>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</si>
  <si>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</si>
  <si>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</si>
  <si>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</si>
  <si>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</si>
  <si>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</si>
  <si>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</si>
  <si>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</si>
  <si>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</si>
  <si>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</si>
  <si>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</si>
  <si>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</si>
  <si>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</si>
  <si>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</si>
  <si>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</si>
  <si>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</si>
  <si>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</si>
  <si>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</si>
  <si>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</si>
  <si>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</si>
  <si>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</si>
  <si>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</si>
  <si>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</si>
  <si>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</si>
  <si>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</si>
  <si>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</si>
  <si>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</si>
  <si>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</si>
  <si>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</si>
  <si>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</si>
  <si>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</si>
  <si>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</si>
  <si>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</si>
  <si>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</si>
  <si>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</si>
  <si>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</si>
  <si>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</si>
  <si>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</si>
  <si>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</si>
  <si>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</si>
  <si>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</si>
  <si>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</si>
  <si>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</si>
  <si>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</si>
  <si>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</si>
  <si>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</si>
  <si>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</si>
  <si>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</si>
  <si>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</si>
  <si>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</si>
  <si>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</si>
  <si>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</si>
  <si>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</si>
  <si>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</si>
  <si>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</si>
  <si>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</si>
  <si>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</si>
  <si>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</si>
  <si>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</si>
  <si>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</si>
  <si>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</si>
  <si>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</si>
  <si>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</si>
  <si>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</si>
  <si>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</si>
  <si>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</si>
  <si>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</si>
  <si>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</si>
  <si>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</si>
  <si>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</si>
  <si>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</si>
  <si>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</si>
  <si>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</si>
  <si>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</si>
  <si>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</si>
  <si>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</si>
  <si>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</si>
  <si>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</si>
  <si>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</si>
  <si>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</si>
  <si>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</si>
  <si>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</si>
  <si>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</si>
  <si>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</si>
  <si>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</si>
  <si>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</si>
  <si>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</si>
  <si>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</si>
  <si>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</si>
  <si>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</si>
  <si>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</si>
  <si>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</si>
  <si>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avg</t>
  </si>
  <si>
    <t>423-57-2993</t>
  </si>
  <si>
    <t>894-41-5205</t>
  </si>
  <si>
    <t>275-28-0149</t>
  </si>
  <si>
    <t>101-17-6199</t>
  </si>
  <si>
    <t>sum</t>
  </si>
  <si>
    <t>423-80-0988</t>
  </si>
  <si>
    <t>1/30/2019</t>
  </si>
  <si>
    <t>548-46-9322</t>
  </si>
  <si>
    <t>505-02-0892</t>
  </si>
  <si>
    <t>best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</si>
  <si>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</si>
  <si>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</si>
  <si>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</si>
  <si>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</si>
  <si>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</si>
  <si>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</si>
  <si>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</si>
  <si>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</si>
  <si>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</si>
  <si>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</si>
  <si>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</si>
  <si>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</si>
  <si>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</si>
  <si>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</si>
  <si>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</si>
  <si>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</si>
  <si>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</si>
  <si>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</si>
  <si>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</si>
  <si>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</si>
  <si>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</si>
  <si>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</si>
  <si>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</si>
  <si>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</si>
  <si>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</si>
  <si>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</si>
  <si>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</si>
  <si>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</si>
  <si>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</si>
  <si>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</si>
  <si>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</si>
  <si>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</si>
  <si>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</si>
  <si>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</si>
  <si>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</si>
  <si>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</si>
  <si>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</si>
  <si>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</si>
  <si>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</si>
  <si>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</si>
  <si>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</si>
  <si>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</si>
  <si>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</si>
  <si>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</si>
  <si>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</si>
  <si>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</si>
  <si>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</si>
  <si>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</si>
  <si>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</si>
  <si>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</si>
  <si>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</si>
  <si>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</si>
  <si>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</si>
  <si>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</si>
  <si>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</si>
  <si>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</si>
  <si>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</si>
  <si>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</si>
  <si>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</si>
  <si>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</si>
  <si>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</si>
  <si>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</si>
  <si>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</si>
  <si>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</si>
  <si>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</si>
  <si>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</si>
  <si>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</si>
  <si>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</si>
  <si>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</si>
  <si>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</si>
  <si>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</si>
  <si>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</si>
  <si>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</si>
  <si>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</si>
  <si>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</si>
  <si>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</si>
  <si>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</si>
  <si>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</si>
  <si>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</si>
  <si>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</si>
  <si>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</si>
  <si>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</si>
  <si>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</si>
  <si>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</si>
  <si>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</si>
  <si>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</si>
  <si>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</si>
  <si>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</si>
  <si>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</si>
  <si>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</si>
  <si>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</si>
  <si>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</si>
  <si>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</si>
  <si>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</si>
  <si>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</si>
  <si>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</si>
  <si>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</si>
  <si>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</si>
  <si>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</si>
  <si>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</si>
  <si>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</si>
  <si>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</si>
  <si>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</si>
  <si>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</si>
  <si>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</si>
  <si>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</si>
  <si>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</si>
  <si>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</si>
  <si>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</si>
  <si>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</si>
  <si>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</si>
  <si>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</si>
  <si>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</si>
  <si>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</si>
  <si>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</si>
  <si>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</si>
  <si>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</si>
  <si>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</si>
  <si>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</si>
  <si>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</si>
  <si>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</si>
  <si>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</si>
  <si>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</si>
  <si>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</si>
  <si>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</si>
  <si>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</si>
  <si>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</si>
  <si>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</si>
  <si>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</si>
  <si>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</si>
  <si>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</si>
  <si>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</si>
  <si>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</si>
  <si>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</si>
  <si>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</si>
  <si>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</si>
  <si>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</si>
  <si>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</si>
  <si>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</si>
  <si>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</si>
  <si>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</si>
  <si>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</si>
  <si>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</si>
  <si>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</si>
  <si>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</si>
  <si>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</si>
  <si>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</si>
  <si>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</si>
  <si>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</si>
  <si>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</si>
  <si>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</si>
  <si>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</si>
  <si>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</si>
  <si>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</si>
  <si>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</si>
  <si>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</si>
  <si>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</si>
  <si>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</si>
  <si>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</si>
  <si>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</si>
  <si>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</si>
  <si>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</si>
  <si>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</si>
  <si>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</si>
  <si>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</si>
  <si>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</si>
  <si>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</si>
  <si>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</si>
  <si>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</si>
  <si>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</si>
  <si>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</si>
  <si>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</si>
  <si>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</si>
  <si>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</si>
  <si>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</si>
  <si>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</si>
  <si>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</si>
  <si>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</si>
  <si>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</si>
  <si>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</si>
  <si>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</si>
  <si>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</si>
  <si>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</si>
  <si>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</si>
  <si>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</si>
  <si>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</si>
  <si>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</si>
  <si>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</si>
  <si>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</si>
  <si>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</si>
  <si>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</si>
  <si>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</si>
  <si>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</si>
  <si>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</si>
  <si>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</si>
  <si>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</si>
  <si>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</si>
  <si>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</si>
  <si>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</si>
  <si>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</si>
  <si>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</si>
  <si>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</si>
  <si>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</si>
  <si>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</si>
  <si>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</si>
  <si>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</si>
  <si>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</si>
  <si>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</si>
  <si>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</si>
  <si>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</si>
  <si>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</si>
  <si>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</si>
  <si>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</si>
  <si>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</si>
  <si>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</si>
  <si>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</si>
  <si>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</si>
  <si>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</si>
  <si>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</si>
  <si>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</si>
  <si>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</si>
  <si>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</si>
  <si>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</si>
  <si>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</si>
  <si>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</si>
  <si>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</si>
  <si>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</si>
  <si>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</si>
  <si>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</si>
  <si>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</si>
  <si>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</si>
  <si>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</si>
  <si>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</si>
  <si>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</si>
  <si>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</si>
  <si>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</si>
  <si>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</si>
  <si>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</si>
  <si>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</si>
  <si>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</si>
  <si>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</si>
  <si>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</si>
  <si>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</si>
  <si>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</si>
  <si>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</si>
  <si>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</si>
  <si>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</si>
  <si>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</si>
  <si>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</si>
  <si>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</si>
  <si>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</si>
  <si>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</si>
  <si>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</si>
  <si>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</si>
  <si>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</si>
  <si>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</si>
  <si>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</si>
  <si>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</si>
  <si>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</si>
  <si>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</si>
  <si>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</si>
  <si>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</si>
  <si>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</si>
  <si>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</si>
  <si>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</si>
  <si>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</si>
  <si>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</si>
  <si>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</si>
  <si>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</si>
  <si>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</si>
  <si>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</si>
  <si>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</si>
  <si>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</si>
  <si>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</si>
  <si>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</si>
  <si>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</si>
  <si>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</si>
  <si>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</si>
  <si>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</si>
  <si>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</si>
  <si>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</si>
  <si>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</si>
  <si>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</si>
  <si>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</si>
  <si>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</si>
  <si>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</si>
  <si>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</si>
  <si>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</si>
  <si>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</si>
  <si>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</si>
  <si>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</si>
  <si>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</si>
  <si>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</si>
  <si>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</si>
  <si>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</si>
  <si>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</si>
  <si>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</si>
  <si>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</si>
  <si>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</si>
  <si>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</si>
  <si>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</si>
  <si>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</si>
  <si>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</si>
  <si>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</si>
  <si>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</si>
  <si>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</si>
  <si>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</si>
  <si>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</si>
  <si>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</si>
  <si>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</si>
  <si>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</si>
  <si>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</si>
  <si>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</si>
  <si>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</si>
  <si>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</si>
  <si>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</si>
  <si>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</si>
  <si>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</si>
  <si>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</si>
  <si>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</si>
  <si>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</si>
  <si>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</si>
  <si>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</si>
  <si>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</si>
  <si>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</si>
  <si>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</si>
  <si>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</si>
  <si>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</si>
  <si>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</si>
  <si>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</si>
  <si>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</si>
  <si>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</si>
  <si>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</si>
  <si>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</si>
  <si>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</si>
  <si>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</si>
  <si>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</si>
  <si>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</si>
  <si>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</si>
  <si>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</si>
  <si>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</si>
  <si>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</si>
  <si>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</si>
  <si>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</si>
  <si>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</si>
  <si>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</si>
  <si>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</si>
  <si>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</si>
  <si>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</si>
  <si>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</si>
  <si>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</si>
  <si>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</si>
  <si>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</si>
  <si>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</si>
  <si>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</si>
  <si>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</si>
  <si>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</si>
  <si>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</si>
  <si>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</si>
  <si>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</si>
  <si>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</si>
  <si>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</si>
  <si>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</si>
  <si>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</si>
  <si>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</si>
  <si>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</si>
  <si>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</si>
  <si>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</si>
  <si>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</si>
  <si>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</si>
  <si>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</si>
  <si>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</si>
  <si>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</si>
  <si>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</si>
  <si>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</si>
  <si>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</si>
  <si>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</si>
  <si>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</si>
  <si>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</si>
  <si>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</si>
  <si>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</si>
  <si>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</si>
  <si>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</si>
  <si>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</si>
  <si>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</si>
  <si>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</si>
  <si>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</si>
  <si>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</si>
  <si>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</si>
  <si>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</si>
  <si>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</si>
  <si>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</si>
  <si>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</si>
  <si>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</si>
  <si>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</si>
  <si>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</si>
  <si>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</si>
  <si>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</si>
  <si>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</si>
  <si>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</si>
  <si>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</si>
  <si>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</si>
  <si>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</si>
  <si>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</si>
  <si>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</si>
  <si>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</si>
  <si>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</si>
  <si>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</si>
  <si>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</si>
  <si>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</si>
  <si>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</si>
  <si>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</si>
  <si>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</si>
  <si>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</si>
  <si>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</si>
  <si>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</si>
  <si>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</si>
  <si>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</si>
  <si>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</si>
  <si>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</si>
  <si>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</si>
  <si>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</si>
  <si>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</si>
  <si>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</si>
  <si>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</si>
  <si>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</si>
  <si>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</si>
  <si>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</si>
  <si>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</si>
  <si>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</si>
  <si>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</si>
  <si>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</si>
  <si>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</si>
  <si>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</si>
  <si>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</si>
  <si>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</si>
  <si>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</si>
  <si>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</si>
  <si>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</si>
  <si>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</si>
  <si>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</si>
  <si>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</si>
  <si>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</si>
  <si>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</si>
  <si>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</si>
  <si>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</si>
  <si>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</si>
  <si>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</si>
  <si>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</si>
  <si>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</si>
  <si>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</si>
  <si>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</si>
  <si>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</si>
  <si>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</si>
  <si>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</si>
  <si>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</si>
  <si>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</si>
  <si>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</si>
  <si>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</si>
  <si>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</si>
  <si>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</si>
  <si>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</si>
  <si>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</si>
  <si>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</si>
  <si>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</si>
  <si>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</si>
  <si>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</si>
  <si>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</si>
  <si>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</si>
  <si>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</si>
  <si>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</si>
  <si>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</si>
  <si>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</si>
  <si>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</si>
  <si>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</si>
  <si>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</si>
  <si>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</si>
  <si>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</si>
  <si>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</si>
  <si>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</si>
  <si>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</si>
  <si>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</si>
  <si>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</si>
  <si>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</si>
  <si>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</si>
  <si>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</si>
  <si>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</si>
  <si>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</si>
  <si>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</si>
  <si>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</si>
  <si>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</si>
  <si>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</si>
  <si>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</si>
  <si>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</si>
  <si>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</si>
  <si>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</si>
  <si>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</si>
  <si>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</si>
  <si>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</si>
  <si>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</si>
  <si>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</si>
  <si>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</si>
  <si>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</si>
  <si>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</si>
  <si>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</si>
  <si>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</si>
  <si>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</si>
  <si>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</si>
  <si>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</si>
  <si>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</si>
  <si>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</si>
  <si>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</si>
  <si>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</si>
  <si>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</si>
  <si>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</si>
  <si>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</si>
  <si>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</si>
  <si>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</si>
  <si>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</si>
  <si>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</si>
  <si>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</si>
  <si>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</si>
  <si>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</si>
  <si>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</si>
  <si>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</si>
  <si>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</si>
  <si>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</si>
  <si>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</si>
  <si>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</si>
  <si>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</si>
  <si>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</si>
  <si>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</si>
  <si>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</si>
  <si>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</si>
  <si>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</si>
  <si>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</si>
  <si>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</si>
  <si>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</si>
  <si>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</si>
  <si>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</si>
  <si>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</si>
  <si>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</si>
  <si>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</si>
  <si>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</si>
  <si>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</si>
  <si>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</si>
  <si>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</si>
  <si>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</si>
  <si>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</si>
  <si>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</si>
  <si>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</si>
  <si>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</si>
  <si>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</si>
  <si>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</si>
  <si>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</si>
  <si>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</si>
  <si>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</si>
  <si>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</si>
  <si>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</si>
  <si>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</si>
  <si>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</si>
  <si>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</si>
  <si>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</si>
  <si>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</si>
  <si>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</si>
  <si>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</si>
  <si>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</si>
  <si>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</si>
  <si>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</si>
  <si>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</si>
  <si>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</si>
  <si>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</si>
  <si>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</si>
  <si>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</si>
  <si>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</si>
  <si>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</si>
  <si>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</si>
  <si>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</si>
  <si>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</si>
  <si>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</si>
  <si>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</si>
  <si>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</si>
  <si>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</si>
  <si>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</si>
  <si>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</si>
  <si>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</si>
  <si>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</si>
  <si>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</si>
  <si>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</si>
  <si>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</si>
  <si>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</si>
  <si>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</si>
  <si>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</si>
  <si>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</si>
  <si>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</si>
  <si>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</si>
  <si>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</si>
  <si>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</si>
  <si>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</si>
  <si>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</si>
  <si>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</si>
  <si>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</si>
  <si>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</si>
  <si>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</si>
  <si>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</si>
  <si>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</si>
  <si>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</si>
  <si>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</si>
  <si>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</si>
  <si>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</si>
  <si>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</si>
  <si>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</si>
  <si>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</si>
  <si>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</si>
  <si>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</si>
  <si>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</si>
  <si>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</si>
  <si>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</si>
  <si>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</si>
  <si>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</si>
  <si>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</si>
  <si>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</si>
  <si>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</si>
  <si>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</si>
  <si>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</si>
  <si>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</si>
  <si>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</si>
  <si>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</si>
  <si>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</si>
  <si>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</si>
  <si>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</si>
  <si>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</si>
  <si>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</si>
  <si>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</si>
  <si>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</si>
  <si>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</si>
  <si>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</si>
  <si>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</si>
  <si>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</si>
  <si>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</si>
  <si>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</si>
  <si>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</si>
  <si>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</si>
  <si>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</si>
  <si>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</si>
  <si>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</si>
  <si>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</si>
  <si>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</si>
  <si>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</si>
  <si>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</si>
  <si>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</si>
  <si>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</si>
  <si>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</si>
  <si>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</si>
  <si>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</si>
  <si>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</si>
  <si>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</si>
  <si>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</si>
  <si>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</si>
  <si>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</si>
  <si>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</si>
  <si>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</si>
  <si>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</si>
  <si>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</si>
  <si>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</si>
  <si>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</si>
  <si>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</si>
  <si>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</si>
  <si>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</si>
  <si>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</si>
  <si>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</si>
  <si>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</si>
  <si>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</si>
  <si>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</si>
  <si>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</si>
  <si>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</si>
  <si>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</si>
  <si>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</si>
  <si>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</si>
  <si>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</si>
  <si>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</si>
  <si>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</si>
  <si>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</si>
  <si>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</si>
  <si>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</si>
  <si>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</si>
  <si>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</si>
  <si>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</si>
  <si>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</si>
  <si>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</si>
  <si>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</si>
  <si>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</si>
  <si>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</si>
  <si>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</si>
  <si>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</si>
  <si>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</si>
  <si>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</si>
  <si>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</si>
  <si>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</si>
  <si>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</si>
  <si>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</si>
  <si>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</si>
  <si>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</si>
  <si>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</si>
  <si>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</si>
  <si>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</si>
  <si>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</si>
  <si>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</si>
  <si>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</si>
  <si>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</si>
  <si>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</si>
  <si>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</si>
  <si>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</si>
  <si>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</si>
  <si>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</si>
  <si>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</si>
  <si>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</si>
  <si>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</si>
  <si>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</si>
  <si>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</si>
  <si>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</si>
  <si>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</si>
  <si>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</si>
  <si>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</si>
  <si>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</si>
  <si>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</si>
  <si>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</si>
  <si>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</si>
  <si>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</si>
  <si>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</si>
  <si>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</si>
  <si>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</si>
  <si>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</si>
  <si>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</si>
  <si>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</si>
  <si>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</si>
  <si>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</si>
  <si>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</si>
  <si>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</si>
  <si>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</si>
  <si>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</si>
  <si>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</si>
  <si>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</si>
  <si>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</si>
  <si>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</si>
  <si>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</si>
  <si>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</si>
  <si>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</si>
  <si>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</si>
  <si>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</si>
  <si>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</si>
  <si>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</si>
  <si>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</si>
  <si>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</si>
  <si>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</si>
  <si>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</si>
  <si>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</si>
  <si>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</si>
  <si>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</si>
  <si>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</si>
  <si>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</si>
  <si>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</si>
  <si>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</si>
  <si>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</si>
  <si>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</si>
  <si>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</si>
  <si>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</si>
  <si>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</si>
  <si>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</si>
  <si>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</si>
  <si>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</si>
  <si>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</si>
  <si>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</si>
  <si>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</si>
  <si>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</si>
  <si>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</si>
  <si>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</si>
  <si>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</si>
  <si>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</si>
  <si>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</si>
  <si>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</si>
  <si>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</si>
  <si>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</si>
  <si>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</si>
  <si>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</si>
  <si>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</si>
  <si>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</si>
  <si>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</si>
  <si>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</si>
  <si>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</si>
  <si>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</si>
  <si>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</si>
  <si>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</si>
  <si>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</si>
  <si>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</si>
  <si>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</si>
  <si>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</si>
  <si>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</si>
  <si>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</si>
  <si>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</si>
  <si>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</si>
  <si>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</si>
  <si>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</si>
  <si>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</si>
  <si>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</si>
  <si>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</si>
  <si>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</si>
  <si>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</si>
  <si>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</si>
  <si>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</si>
  <si>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</si>
  <si>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</si>
  <si>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</si>
  <si>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</si>
  <si>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</si>
  <si>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</si>
  <si>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</si>
  <si>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</si>
  <si>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</si>
  <si>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</si>
  <si>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</si>
  <si>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</si>
  <si>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</si>
  <si>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</si>
  <si>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</si>
  <si>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</si>
  <si>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</si>
  <si>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</si>
  <si>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</si>
  <si>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</si>
  <si>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</si>
  <si>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</si>
  <si>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</si>
  <si>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</si>
  <si>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</si>
  <si>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</si>
  <si>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</si>
  <si>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</si>
  <si>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</si>
  <si>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</si>
  <si>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</si>
  <si>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</si>
  <si>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</si>
  <si>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</si>
  <si>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</si>
  <si>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</si>
  <si>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(blank)</t>
  </si>
  <si>
    <t>Grand Total</t>
  </si>
  <si>
    <t>Sum of Sales</t>
  </si>
  <si>
    <t>Average of Rating</t>
  </si>
  <si>
    <t>Sales Category:</t>
  </si>
  <si>
    <t>Profit Margin %</t>
  </si>
  <si>
    <t>Customer Satisfaction</t>
  </si>
  <si>
    <t>Revenue Contribution %</t>
  </si>
  <si>
    <t>Time of Day</t>
  </si>
  <si>
    <t>Afternoon</t>
  </si>
  <si>
    <t>Evening</t>
  </si>
  <si>
    <t>Morning</t>
  </si>
  <si>
    <t>High Sale</t>
  </si>
  <si>
    <t>Low Sale</t>
  </si>
  <si>
    <t>Medium Sale</t>
  </si>
  <si>
    <t>Count of 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</si>
</sst>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20" fillId="3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0" fontId="0" fillId="0" borderId="0" xfId="0" applyNumberFormat="1"/>
    <xf numFmtId="10" fontId="19" fillId="0" borderId="0" xfId="0" applyNumberFormat="1" applyFont="1" applyAlignment="1">
      <alignment vertical="center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project.xlsx]Sheet3!PivotTable2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Product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8300835088831673"/>
          <c:y val="0.28727087396763756"/>
          <c:w val="0.35070794674470779"/>
          <c:h val="0.626350210257262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  <c:pt idx="6">
                  <c:v>(blank)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D-4B11-A2FB-15A20CA8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951984"/>
        <c:axId val="82948144"/>
      </c:barChart>
      <c:catAx>
        <c:axId val="8295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8144"/>
        <c:crosses val="autoZero"/>
        <c:auto val="1"/>
        <c:lblAlgn val="ctr"/>
        <c:lblOffset val="100"/>
        <c:noMultiLvlLbl val="0"/>
      </c:catAx>
      <c:valAx>
        <c:axId val="8294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5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project.xlsx]Sheet2!PivotTable1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Branch</a:t>
            </a:r>
            <a:endParaRPr lang="en-US"/>
          </a:p>
        </c:rich>
      </c:tx>
      <c:layout>
        <c:manualLayout>
          <c:xMode val="edge"/>
          <c:yMode val="edge"/>
          <c:x val="0.45083333333333336"/>
          <c:y val="8.081603435934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6-4759-8F1E-B9A8DF95C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38064"/>
        <c:axId val="82930384"/>
      </c:barChart>
      <c:catAx>
        <c:axId val="829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0384"/>
        <c:crosses val="autoZero"/>
        <c:auto val="1"/>
        <c:lblAlgn val="ctr"/>
        <c:lblOffset val="100"/>
        <c:noMultiLvlLbl val="0"/>
      </c:catAx>
      <c:valAx>
        <c:axId val="829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project.xlsx]Sheet4!PivotTable3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Rating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5-494E-AAC9-3D7C7D6F3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46704"/>
        <c:axId val="82940944"/>
      </c:barChart>
      <c:catAx>
        <c:axId val="8294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0944"/>
        <c:crosses val="autoZero"/>
        <c:auto val="1"/>
        <c:lblAlgn val="ctr"/>
        <c:lblOffset val="100"/>
        <c:noMultiLvlLbl val="0"/>
      </c:catAx>
      <c:valAx>
        <c:axId val="8294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project.xlsx]Sheet5!PivotTable4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Sheet5!$A$4:$A$10</c:f>
              <c:strCache>
                <c:ptCount val="6"/>
                <c:pt idx="0">
                  <c:v>Afternoon</c:v>
                </c:pt>
                <c:pt idx="1">
                  <c:v>avg</c:v>
                </c:pt>
                <c:pt idx="2">
                  <c:v>Evening</c:v>
                </c:pt>
                <c:pt idx="3">
                  <c:v>Morning</c:v>
                </c:pt>
                <c:pt idx="4">
                  <c:v>sum</c:v>
                </c:pt>
                <c:pt idx="5">
                  <c:v>(blank)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26515.156499999997</c:v>
                </c:pt>
                <c:pt idx="1">
                  <c:v>918.72900000000004</c:v>
                </c:pt>
                <c:pt idx="2">
                  <c:v>21993.205500000007</c:v>
                </c:pt>
                <c:pt idx="3">
                  <c:v>12126.135</c:v>
                </c:pt>
                <c:pt idx="4">
                  <c:v>336.55650000000003</c:v>
                </c:pt>
                <c:pt idx="5">
                  <c:v>261076.96649999989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9-462E-AA12-7E36009D9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7760"/>
        <c:axId val="87448240"/>
      </c:barChart>
      <c:catAx>
        <c:axId val="8744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8240"/>
        <c:crosses val="autoZero"/>
        <c:auto val="1"/>
        <c:lblAlgn val="ctr"/>
        <c:lblOffset val="100"/>
        <c:noMultiLvlLbl val="0"/>
      </c:catAx>
      <c:valAx>
        <c:axId val="874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 project.xlsx]Sheet6!PivotTable5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48070351875501804"/>
          <c:y val="0.12209040365274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Sheet6!$A$4:$A$8</c:f>
              <c:strCache>
                <c:ptCount val="4"/>
                <c:pt idx="0">
                  <c:v>High Sale</c:v>
                </c:pt>
                <c:pt idx="1">
                  <c:v>Low Sale</c:v>
                </c:pt>
                <c:pt idx="2">
                  <c:v>Medium Sale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9</c:v>
                </c:pt>
                <c:pt idx="1">
                  <c:v>773</c:v>
                </c:pt>
                <c:pt idx="2">
                  <c:v>217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A-4F14-A7C7-AA1E8B301F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7414640"/>
        <c:axId val="87411280"/>
      </c:barChart>
      <c:catAx>
        <c:axId val="87414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1280"/>
        <c:crosses val="autoZero"/>
        <c:auto val="1"/>
        <c:lblAlgn val="ctr"/>
        <c:lblOffset val="100"/>
        <c:noMultiLvlLbl val="0"/>
      </c:catAx>
      <c:valAx>
        <c:axId val="87411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1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554411</xdr:colOff>
      <xdr:row>16</xdr:row>
      <xdr:rowOff>82025</xdr:rowOff>
    </xdr:from>
    <xdr:to>
      <xdr:col>9</xdr:col>
      <xdr:colOff>245894</xdr:colOff>
      <xdr:row>31</xdr:row>
      <xdr:rowOff>82024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912A2-4D38-E657-0A94-03C12AFAA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432955</xdr:colOff>
      <xdr:row>1</xdr:row>
      <xdr:rowOff>346</xdr:rowOff>
    </xdr:from>
    <xdr:to>
      <xdr:col>10</xdr:col>
      <xdr:colOff>131619</xdr:colOff>
      <xdr:row>16</xdr:row>
      <xdr:rowOff>346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5EFC927-8C2B-E965-0850-51FDFA1F3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176468</xdr:colOff>
      <xdr:row>2</xdr:row>
      <xdr:rowOff>89489</xdr:rowOff>
    </xdr:from>
    <xdr:to>
      <xdr:col>18</xdr:col>
      <xdr:colOff>1098302</xdr:colOff>
      <xdr:row>17</xdr:row>
      <xdr:rowOff>89489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2F884C3-A75B-61A0-CAFB-71CBF9FF7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301449</xdr:colOff>
      <xdr:row>35</xdr:row>
      <xdr:rowOff>60540</xdr:rowOff>
    </xdr:from>
    <xdr:to>
      <xdr:col>9</xdr:col>
      <xdr:colOff>40826</xdr:colOff>
      <xdr:row>49</xdr:row>
      <xdr:rowOff>163276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667381A-7550-6233-239D-4574768A9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70015</xdr:colOff>
      <xdr:row>22</xdr:row>
      <xdr:rowOff>13327</xdr:rowOff>
    </xdr:from>
    <xdr:to>
      <xdr:col>18</xdr:col>
      <xdr:colOff>2628896</xdr:colOff>
      <xdr:row>35</xdr:row>
      <xdr:rowOff>61671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3CA07793-B1B8-1945-0DC7-CA4A794D6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i" refreshedDate="46174.780688078703" createdVersion="8" refreshedVersion="8" minRefreshableVersion="3" recordCount="1001" xr:uid="{D618DD2F-23B1-48B3-BA74-90D2D5064D29}">
  <cacheSource type="worksheet">
    <worksheetSource ref="A1:Q1048576" sheet="SuperMarket Analysis (1)"/>
  </cacheSource>
  <cacheFields count="17">
    <cacheField name="Invoice ID" numFmtId="0">
      <sharedItems containsBlank="1"/>
    </cacheField>
    <cacheField name="Branch" numFmtId="0">
      <sharedItems containsBlank="1" count="4">
        <s v="Alex"/>
        <s v="Giza"/>
        <s v="Cairo"/>
        <m/>
      </sharedItems>
    </cacheField>
    <cacheField name="City" numFmtId="0">
      <sharedItems containsBlank="1"/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Sales" numFmtId="0">
      <sharedItems containsString="0" containsBlank="1" containsNumber="1" minValue="10.6785" maxValue="1042.6500000000001"/>
    </cacheField>
    <cacheField name="Date" numFmtId="0">
      <sharedItems containsDate="1" containsBlank="1" containsMixedTypes="1" minDate="2019-01-01T00:00:00" maxDate="2019-12-04T00:00:00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 sri" refreshedDate="46174.862311805555" createdVersion="8" refreshedVersion="8" minRefreshableVersion="3" recordCount="1001" xr:uid="{7CAAD72B-C092-451A-9E7F-49CC5611653D}">
  <cacheSource type="worksheet">
    <worksheetSource ref="A1:V1048576" sheet="SuperMarket Analysis (1)"/>
  </cacheSource>
  <cacheFields count="22">
    <cacheField name="Invoice ID" numFmtId="0">
      <sharedItems containsBlank="1" count="1001">
        <s v="750-67-8428"/>
        <s v="226-31-3081"/>
        <s v="631-41-3108"/>
        <s v="123-19-1176"/>
        <s v="373-73-7910"/>
        <s v="699-14-3026"/>
        <s v="355-53-5943"/>
        <s v="315-22-5665"/>
        <s v="665-32-9167"/>
        <s v="692-92-5582"/>
        <s v="351-62-0822"/>
        <s v="529-56-3974"/>
        <s v="365-64-0515"/>
        <s v="252-56-2699"/>
        <s v="829-34-3910"/>
        <s v="299-46-1805"/>
        <s v="656-95-9349"/>
        <s v="765-26-6951"/>
        <s v="329-62-1586"/>
        <s v="319-50-3348"/>
        <s v="300-71-4605"/>
        <s v="371-85-5789"/>
        <s v="273-16-6619"/>
        <s v="636-48-8204"/>
        <s v="549-59-1358"/>
        <s v="227-03-5010"/>
        <s v="649-29-6775"/>
        <s v="189-17-4241"/>
        <s v="145-94-9061"/>
        <s v="848-62-7243"/>
        <s v="871-79-8483"/>
        <s v="149-71-6266"/>
        <s v="640-49-2076"/>
        <s v="595-11-5460"/>
        <s v="183-56-6882"/>
        <s v="232-16-2483"/>
        <s v="129-29-8530"/>
        <s v="272-65-1806"/>
        <s v="333-73-7901"/>
        <s v="777-82-7220"/>
        <s v="280-35-5823"/>
        <s v="554-53-8700"/>
        <s v="354-25-5821"/>
        <s v="228-96-1411"/>
        <s v="617-15-4209"/>
        <s v="132-32-9879"/>
        <s v="370-41-7321"/>
        <s v="727-46-3608"/>
        <s v="669-54-1719"/>
        <s v="574-22-5561"/>
        <s v="326-78-5178"/>
        <s v="162-48-8011"/>
        <s v="616-24-2851"/>
        <s v="778-71-5554"/>
        <s v="242-55-6721"/>
        <s v="399-46-5918"/>
        <s v="106-35-6779"/>
        <s v="635-40-6220"/>
        <s v="817-48-8732"/>
        <s v="120-06-4233"/>
        <s v="285-68-5083"/>
        <s v="803-83-5989"/>
        <s v="347-34-2234"/>
        <s v="199-75-8169"/>
        <s v="853-23-2453"/>
        <s v="877-22-3308"/>
        <s v="838-78-4295"/>
        <s v="109-28-2512"/>
        <s v="232-11-3025"/>
        <s v="382-03-4532"/>
        <s v="393-65-2792"/>
        <s v="796-12-2025"/>
        <s v="510-95-6347"/>
        <s v="841-35-6630"/>
        <s v="287-21-9091"/>
        <s v="732-94-0499"/>
        <s v="263-10-3913"/>
        <s v="381-20-0914"/>
        <s v="829-49-1914"/>
        <s v="756-01-7507"/>
        <s v="870-72-4431"/>
        <s v="847-38-7188"/>
        <s v="480-63-2856"/>
        <s v="787-56-0757"/>
        <s v="360-39-5055"/>
        <s v="730-50-9884"/>
        <s v="362-58-8315"/>
        <s v="633-44-8566"/>
        <s v="504-35-8843"/>
        <s v="318-68-5053"/>
        <s v="565-80-5980"/>
        <s v="225-32-0908"/>
        <s v="873-51-0671"/>
        <s v="152-08-9985"/>
        <s v="512-91-0811"/>
        <s v="594-34-4444"/>
        <s v="766-85-7061"/>
        <s v="871-39-9221"/>
        <s v="865-92-6136"/>
        <s v="733-01-9107"/>
        <s v="163-56-7055"/>
        <s v="189-98-2939"/>
        <s v="551-21-3069"/>
        <s v="212-62-1842"/>
        <s v="716-39-1409"/>
        <s v="704-48-3927"/>
        <s v="628-34-3388"/>
        <s v="630-74-5166"/>
        <s v="588-01-7461"/>
        <s v="861-77-0145"/>
        <s v="479-26-8945"/>
        <s v="210-67-5886"/>
        <s v="227-78-1148"/>
        <s v="645-44-1170"/>
        <s v="237-01-6122"/>
        <s v="225-98-1496"/>
        <s v="291-32-1427"/>
        <s v="659-65-8956"/>
        <s v="642-32-2990"/>
        <s v="378-24-2715"/>
        <s v="638-60-7125"/>
        <s v="659-36-1684"/>
        <s v="219-22-9386"/>
        <s v="336-78-2147"/>
        <s v="268-27-6179"/>
        <s v="668-90-8900"/>
        <s v="870-54-3162"/>
        <s v="189-08-9157"/>
        <s v="663-86-9076"/>
        <s v="549-84-7482"/>
        <s v="191-10-6171"/>
        <s v="802-70-5316"/>
        <s v="695-51-0018"/>
        <s v="590-83-4591"/>
        <s v="483-71-1164"/>
        <s v="597-78-7908"/>
        <s v="700-81-1757"/>
        <s v="354-39-5160"/>
        <s v="241-72-9525"/>
        <s v="575-30-8091"/>
        <s v="731-81-9469"/>
        <s v="280-17-4359"/>
        <s v="338-65-2210"/>
        <s v="488-25-4221"/>
        <s v="239-10-7476"/>
        <s v="458-41-1477"/>
        <s v="685-64-1609"/>
        <s v="568-90-5112"/>
        <s v="262-47-2794"/>
        <s v="238-49-0436"/>
        <s v="608-96-3517"/>
        <s v="584-86-7256"/>
        <s v="746-94-0204"/>
        <s v="214-17-6927"/>
        <s v="400-89-4171"/>
        <s v="782-95-9291"/>
        <s v="279-74-2924"/>
        <s v="307-85-2293"/>
        <s v="743-04-1105"/>
        <s v="423-57-2993"/>
        <s v="894-41-5205"/>
        <s v="275-28-0149"/>
        <s v="101-17-6199"/>
        <s v="423-80-0988"/>
        <s v="548-46-9322"/>
        <s v="505-02-0892"/>
        <s v="234-65-2137"/>
        <s v="687-47-8271"/>
        <s v="796-32-9050"/>
        <s v="105-31-1824"/>
        <s v="249-42-3782"/>
        <s v="316-55-4634"/>
        <s v="733-33-4967"/>
        <s v="608-27-6295"/>
        <s v="414-12-7047"/>
        <s v="827-26-2100"/>
        <s v="175-54-2529"/>
        <s v="139-52-2867"/>
        <s v="407-63-8975"/>
        <s v="342-65-4817"/>
        <s v="130-98-8941"/>
        <s v="434-83-9547"/>
        <s v="851-28-6367"/>
        <s v="824-88-3614"/>
        <s v="586-25-0848"/>
        <s v="895-66-0685"/>
        <s v="305-14-0245"/>
        <s v="732-04-5373"/>
        <s v="400-60-7251"/>
        <s v="593-65-1552"/>
        <s v="284-34-9626"/>
        <s v="437-58-8131"/>
        <s v="286-43-6208"/>
        <s v="641-43-2399"/>
        <s v="831-07-6050"/>
        <s v="556-86-3144"/>
        <s v="848-24-9445"/>
        <s v="856-22-8149"/>
        <s v="699-01-4164"/>
        <s v="420-11-4919"/>
        <s v="606-80-4905"/>
        <s v="542-41-0513"/>
        <s v="426-39-2418"/>
        <s v="875-46-5808"/>
        <s v="394-43-4238"/>
        <s v="749-24-1565"/>
        <s v="672-51-8681"/>
        <s v="263-87-5680"/>
        <s v="573-58-9734"/>
        <s v="817-69-8206"/>
        <s v="888-02-0338"/>
        <s v="677-11-0152"/>
        <s v="142-63-6033"/>
        <s v="656-16-1063"/>
        <s v="891-58-8335"/>
        <s v="802-43-8934"/>
        <s v="560-30-5617"/>
        <s v="319-74-2561"/>
        <s v="549-03-9315"/>
        <s v="790-29-1172"/>
        <s v="239-36-3640"/>
        <s v="468-01-2051"/>
        <s v="389-25-3394"/>
        <s v="279-62-1445"/>
        <s v="213-72-6612"/>
        <s v="746-68-6593"/>
        <s v="836-82-5858"/>
        <s v="583-72-1480"/>
        <s v="466-61-5506"/>
        <s v="721-86-6247"/>
        <s v="289-65-5721"/>
        <s v="545-46-3100"/>
        <s v="418-02-5978"/>
        <s v="269-04-5750"/>
        <s v="157-13-5295"/>
        <s v="645-78-8093"/>
        <s v="211-30-9270"/>
        <s v="755-12-3214"/>
        <s v="346-84-3103"/>
        <s v="478-06-7835"/>
        <s v="540-11-4336"/>
        <s v="448-81-5016"/>
        <s v="142-72-4741"/>
        <s v="217-58-1179"/>
        <s v="376-02-8238"/>
        <s v="530-90-9855"/>
        <s v="866-05-7563"/>
        <s v="604-70-6476"/>
        <s v="799-71-1548"/>
        <s v="785-13-7708"/>
        <s v="845-51-0542"/>
        <s v="662-47-5456"/>
        <s v="883-17-4236"/>
        <s v="290-68-2984"/>
        <s v="704-11-6354"/>
        <s v="110-48-7033"/>
        <s v="366-93-0948"/>
        <s v="729-09-9681"/>
        <s v="151-16-1484"/>
        <s v="380-94-4661"/>
        <s v="850-41-9669"/>
        <s v="821-07-3596"/>
        <s v="655-85-5130"/>
        <s v="447-15-7839"/>
        <s v="154-74-7179"/>
        <s v="253-12-6086"/>
        <s v="808-65-0703"/>
        <s v="571-94-0759"/>
        <s v="144-51-6085"/>
        <s v="731-14-2199"/>
        <s v="783-09-1637"/>
        <s v="687-15-1097"/>
        <s v="126-54-1082"/>
        <s v="633-91-1052"/>
        <s v="477-24-6490"/>
        <s v="566-19-5475"/>
        <s v="526-86-8552"/>
        <s v="376-56-3573"/>
        <s v="537-72-0426"/>
        <s v="828-61-5674"/>
        <s v="136-08-6195"/>
        <s v="523-38-0215"/>
        <s v="490-29-1201"/>
        <s v="667-92-0055"/>
        <s v="565-17-3836"/>
        <s v="498-41-1961"/>
        <s v="593-95-4461"/>
        <s v="226-71-3580"/>
        <s v="283-79-9594"/>
        <s v="430-60-3493"/>
        <s v="139-20-0155"/>
        <s v="558-80-4082"/>
        <s v="278-97-7759"/>
        <s v="316-68-6352"/>
        <s v="585-03-5943"/>
        <s v="211-05-0490"/>
        <s v="727-75-6477"/>
        <s v="744-02-5987"/>
        <s v="307-83-9164"/>
        <s v="779-06-0012"/>
        <s v="446-47-6729"/>
        <s v="573-10-3877"/>
        <s v="735-06-4124"/>
        <s v="439-54-7422"/>
        <s v="396-90-2219"/>
        <s v="411-77-0180"/>
        <s v="286-01-5402"/>
        <s v="803-17-8013"/>
        <s v="512-98-1403"/>
        <s v="848-42-2560"/>
        <s v="532-59-7201"/>
        <s v="181-94-6432"/>
        <s v="870-76-1733"/>
        <s v="423-64-4619"/>
        <s v="227-07-4446"/>
        <s v="174-36-3675"/>
        <s v="428-83-5800"/>
        <s v="603-07-0961"/>
        <s v="704-20-4138"/>
        <s v="787-15-1757"/>
        <s v="649-11-3678"/>
        <s v="622-20-1945"/>
        <s v="372-94-8041"/>
        <s v="563-91-7120"/>
        <s v="746-54-5508"/>
        <s v="276-54-0879"/>
        <s v="815-11-1168"/>
        <s v="719-76-3868"/>
        <s v="730-61-8757"/>
        <s v="340-66-0321"/>
        <s v="868-81-1752"/>
        <s v="634-97-8956"/>
        <s v="566-71-1091"/>
        <s v="442-48-3607"/>
        <s v="835-16-0096"/>
        <s v="527-09-6272"/>
        <s v="898-04-2717"/>
        <s v="692-27-8933"/>
        <s v="633-09-3463"/>
        <s v="374-17-3652"/>
        <s v="378-07-7001"/>
        <s v="433-75-6987"/>
        <s v="873-95-4984"/>
        <s v="416-13-5917"/>
        <s v="150-89-8043"/>
        <s v="135-84-8019"/>
        <s v="441-94-7118"/>
        <s v="725-96-3778"/>
        <s v="531-80-1784"/>
        <s v="400-45-1220"/>
        <s v="860-79-0874"/>
        <s v="834-61-8124"/>
        <s v="115-99-4379"/>
        <s v="565-67-6697"/>
        <s v="320-49-6392"/>
        <s v="889-04-9723"/>
        <s v="632-90-0281"/>
        <s v="554-42-2417"/>
        <s v="453-63-6187"/>
        <s v="578-80-7669"/>
        <s v="612-36-5536"/>
        <s v="605-72-4132"/>
        <s v="471-41-2823"/>
        <s v="462-67-9126"/>
        <s v="272-27-9238"/>
        <s v="834-25-9262"/>
        <s v="122-61-9553"/>
        <s v="468-88-0009"/>
        <s v="613-59-9758"/>
        <s v="254-31-0042"/>
        <s v="201-86-2184"/>
        <s v="261-12-8671"/>
        <s v="730-70-9830"/>
        <s v="382-25-8917"/>
        <s v="422-29-8786"/>
        <s v="667-23-5919"/>
        <s v="843-01-4703"/>
        <s v="743-88-1662"/>
        <s v="595-86-2894"/>
        <s v="182-69-8360"/>
        <s v="289-15-7034"/>
        <s v="462-78-5240"/>
        <s v="868-52-7573"/>
        <s v="153-58-4872"/>
        <s v="662-72-2873"/>
        <s v="525-88-7307"/>
        <s v="689-16-9784"/>
        <s v="725-56-0833"/>
        <s v="394-41-0748"/>
        <s v="596-42-3999"/>
        <s v="541-89-9860"/>
        <s v="173-82-9529"/>
        <s v="563-36-9814"/>
        <s v="308-47-4913"/>
        <s v="885-17-6250"/>
        <s v="726-27-2396"/>
        <s v="316-01-3952"/>
        <s v="760-54-1821"/>
        <s v="793-10-3222"/>
        <s v="346-12-3257"/>
        <s v="110-05-6330"/>
        <s v="651-61-0874"/>
        <s v="236-86-3015"/>
        <s v="831-64-0259"/>
        <s v="587-03-7455"/>
        <s v="882-40-4577"/>
        <s v="732-67-5346"/>
        <s v="725-32-9708"/>
        <s v="256-08-8343"/>
        <s v="372-26-1506"/>
        <s v="244-08-0162"/>
        <s v="569-71-4390"/>
        <s v="132-23-6451"/>
        <s v="696-90-2548"/>
        <s v="472-15-9636"/>
        <s v="268-03-6164"/>
        <s v="750-57-9686"/>
        <s v="186-09-3669"/>
        <s v="848-07-1692"/>
        <s v="745-71-3520"/>
        <s v="266-76-6436"/>
        <s v="740-22-2500"/>
        <s v="271-88-8734"/>
        <s v="301-81-8610"/>
        <s v="489-64-4354"/>
        <s v="198-84-7132"/>
        <s v="269-10-8440"/>
        <s v="650-98-6268"/>
        <s v="741-73-3559"/>
        <s v="325-77-6186"/>
        <s v="286-75-7818"/>
        <s v="574-57-9721"/>
        <s v="459-50-7686"/>
        <s v="616-87-0016"/>
        <s v="837-55-7229"/>
        <s v="751-69-0068"/>
        <s v="257-73-1380"/>
        <s v="345-08-4992"/>
        <s v="549-96-4200"/>
        <s v="810-60-6344"/>
        <s v="450-28-2866"/>
        <s v="394-30-3170"/>
        <s v="138-17-5109"/>
        <s v="192-98-7397"/>
        <s v="301-11-9629"/>
        <s v="390-80-5128"/>
        <s v="235-46-8343"/>
        <s v="453-12-7053"/>
        <s v="296-11-7041"/>
        <s v="449-27-2918"/>
        <s v="891-01-7034"/>
        <s v="744-09-5786"/>
        <s v="727-17-0390"/>
        <s v="568-88-3448"/>
        <s v="187-83-5490"/>
        <s v="767-54-1907"/>
        <s v="710-46-4433"/>
        <s v="533-33-5337"/>
        <s v="325-90-8763"/>
        <s v="729-46-7422"/>
        <s v="639-76-1242"/>
        <s v="234-03-4040"/>
        <s v="326-71-2155"/>
        <s v="320-32-8842"/>
        <s v="470-32-9057"/>
        <s v="878-30-2331"/>
        <s v="440-59-5691"/>
        <s v="554-53-3790"/>
        <s v="746-19-0921"/>
        <s v="233-34-0817"/>
        <s v="767-05-1286"/>
        <s v="340-21-9136"/>
        <s v="405-31-3305"/>
        <s v="731-59-7531"/>
        <s v="676-39-6028"/>
        <s v="502-05-1910"/>
        <s v="485-30-8700"/>
        <s v="598-47-9715"/>
        <s v="701-69-8742"/>
        <s v="575-67-1508"/>
        <s v="541-08-3113"/>
        <s v="246-11-3901"/>
        <s v="674-15-9296"/>
        <s v="305-18-3552"/>
        <s v="493-65-6248"/>
        <s v="438-01-4015"/>
        <s v="709-58-4068"/>
        <s v="795-49-7276"/>
        <s v="556-72-8512"/>
        <s v="627-95-3243"/>
        <s v="686-41-0932"/>
        <s v="510-09-5628"/>
        <s v="608-04-3797"/>
        <s v="148-82-2527"/>
        <s v="437-53-3084"/>
        <s v="632-32-4574"/>
        <s v="556-97-7101"/>
        <s v="862-59-8517"/>
        <s v="401-18-8016"/>
        <s v="420-18-8989"/>
        <s v="277-63-2961"/>
        <s v="573-98-8548"/>
        <s v="620-02-2046"/>
        <s v="282-35-2475"/>
        <s v="511-54-3087"/>
        <s v="726-29-6793"/>
        <s v="387-49-4215"/>
        <s v="862-17-9201"/>
        <s v="291-21-5991"/>
        <s v="602-80-9671"/>
        <s v="347-72-6115"/>
        <s v="209-61-0206"/>
        <s v="595-27-4851"/>
        <s v="189-52-0236"/>
        <s v="503-07-0930"/>
        <s v="413-20-6708"/>
        <s v="425-85-2085"/>
        <s v="521-18-7827"/>
        <s v="220-28-1851"/>
        <s v="600-38-9738"/>
        <s v="734-91-1155"/>
        <s v="451-28-5717"/>
        <s v="609-81-8548"/>
        <s v="133-14-7229"/>
        <s v="534-01-4457"/>
        <s v="719-89-8991"/>
        <s v="286-62-6248"/>
        <s v="339-38-9982"/>
        <s v="827-44-5872"/>
        <s v="827-77-7633"/>
        <s v="287-83-1405"/>
        <s v="435-13-4908"/>
        <s v="857-67-9057"/>
        <s v="236-27-1144"/>
        <s v="892-05-6689"/>
        <s v="583-41-4548"/>
        <s v="339-12-4827"/>
        <s v="643-38-7867"/>
        <s v="308-81-0538"/>
        <s v="358-88-9262"/>
        <s v="460-35-4390"/>
        <s v="343-87-0864"/>
        <s v="173-50-1108"/>
        <s v="243-47-2663"/>
        <s v="841-18-8232"/>
        <s v="701-23-5550"/>
        <s v="647-50-1224"/>
        <s v="541-48-8554"/>
        <s v="539-21-7227"/>
        <s v="213-32-1216"/>
        <s v="747-58-7183"/>
        <s v="582-52-8065"/>
        <s v="210-57-1719"/>
        <s v="399-69-4630"/>
        <s v="134-75-2619"/>
        <s v="356-44-8813"/>
        <s v="198-66-9832"/>
        <s v="283-26-5248"/>
        <s v="712-39-0363"/>
        <s v="218-59-9410"/>
        <s v="174-75-0888"/>
        <s v="866-99-7614"/>
        <s v="134-54-4720"/>
        <s v="760-90-2357"/>
        <s v="514-37-2845"/>
        <s v="698-98-5964"/>
        <s v="718-57-9773"/>
        <s v="651-88-7328"/>
        <s v="241-11-2261"/>
        <s v="408-26-9866"/>
        <s v="834-83-1826"/>
        <s v="343-61-3544"/>
        <s v="239-48-4278"/>
        <s v="355-34-6244"/>
        <s v="550-84-8664"/>
        <s v="339-96-8318"/>
        <s v="458-61-0011"/>
        <s v="592-34-6155"/>
        <s v="797-88-0493"/>
        <s v="207-73-1363"/>
        <s v="390-31-6381"/>
        <s v="443-82-0585"/>
        <s v="339-18-7061"/>
        <s v="359-90-3665"/>
        <s v="375-72-3056"/>
        <s v="127-47-6963"/>
        <s v="278-86-2735"/>
        <s v="695-28-6250"/>
        <s v="379-17-6588"/>
        <s v="227-50-3718"/>
        <s v="302-15-2162"/>
        <s v="788-07-8452"/>
        <s v="560-49-6611"/>
        <s v="880-35-0356"/>
        <s v="585-11-6748"/>
        <s v="470-31-3286"/>
        <s v="152-68-2907"/>
        <s v="123-35-4896"/>
        <s v="258-69-7810"/>
        <s v="334-64-2006"/>
        <s v="219-61-4139"/>
        <s v="881-41-7302"/>
        <s v="373-09-4567"/>
        <s v="642-30-6693"/>
        <s v="484-22-8230"/>
        <s v="830-58-2383"/>
        <s v="559-98-9873"/>
        <s v="544-32-5024"/>
        <s v="318-12-0304"/>
        <s v="349-97-8902"/>
        <s v="421-95-9805"/>
        <s v="277-35-5865"/>
        <s v="789-23-8625"/>
        <s v="284-54-4231"/>
        <s v="443-59-0061"/>
        <s v="509-29-3912"/>
        <s v="327-40-9673"/>
        <s v="840-19-2096"/>
        <s v="828-46-6863"/>
        <s v="641-96-3695"/>
        <s v="420-97-3340"/>
        <s v="436-54-4512"/>
        <s v="670-79-6321"/>
        <s v="852-62-7105"/>
        <s v="598-06-7312"/>
        <s v="135-13-8269"/>
        <s v="816-57-2053"/>
        <s v="628-90-8624"/>
        <s v="856-66-2701"/>
        <s v="308-39-1707"/>
        <s v="149-61-1929"/>
        <s v="655-07-2265"/>
        <s v="589-02-8023"/>
        <s v="420-04-7590"/>
        <s v="182-88-2763"/>
        <s v="188-55-0967"/>
        <s v="610-46-4100"/>
        <s v="318-81-2368"/>
        <s v="364-33-8584"/>
        <s v="665-63-9737"/>
        <s v="695-09-5146"/>
        <s v="155-45-3814"/>
        <s v="794-32-2436"/>
        <s v="131-15-8856"/>
        <s v="273-84-2164"/>
        <s v="706-36-6154"/>
        <s v="778-89-7974"/>
        <s v="574-31-8277"/>
        <s v="859-71-0933"/>
        <s v="740-11-5257"/>
        <s v="369-82-2676"/>
        <s v="563-47-4072"/>
        <s v="742-04-5161"/>
        <s v="149-15-7606"/>
        <s v="133-77-3154"/>
        <s v="169-52-4504"/>
        <s v="250-81-7186"/>
        <s v="562-12-5430"/>
        <s v="816-72-8853"/>
        <s v="491-38-3499"/>
        <s v="322-02-2271"/>
        <s v="842-29-4695"/>
        <s v="725-67-2480"/>
        <s v="641-51-2661"/>
        <s v="714-02-3114"/>
        <s v="518-17-2983"/>
        <s v="779-42-2410"/>
        <s v="190-14-3147"/>
        <s v="408-66-6712"/>
        <s v="679-22-6530"/>
        <s v="588-47-8641"/>
        <s v="642-61-4706"/>
        <s v="576-31-4774"/>
        <s v="556-41-6224"/>
        <s v="811-03-8790"/>
        <s v="242-11-3142"/>
        <s v="752-23-3760"/>
        <s v="274-05-5470"/>
        <s v="648-94-3045"/>
        <s v="130-67-4723"/>
        <s v="528-87-5606"/>
        <s v="320-85-2052"/>
        <s v="370-96-0655"/>
        <s v="105-10-6182"/>
        <s v="510-79-0415"/>
        <s v="241-96-5076"/>
        <s v="767-97-4650"/>
        <s v="648-83-1321"/>
        <s v="173-57-2300"/>
        <s v="305-03-2383"/>
        <s v="394-55-6384"/>
        <s v="266-20-6657"/>
        <s v="689-05-1884"/>
        <s v="196-01-2849"/>
        <s v="372-62-5264"/>
        <s v="800-09-8606"/>
        <s v="182-52-7000"/>
        <s v="826-58-8051"/>
        <s v="868-06-0466"/>
        <s v="751-41-9720"/>
        <s v="626-43-7888"/>
        <s v="176-64-7711"/>
        <s v="191-29-0321"/>
        <s v="729-06-2010"/>
        <s v="640-48-5028"/>
        <s v="186-79-9562"/>
        <s v="834-45-5519"/>
        <s v="162-65-8559"/>
        <s v="760-27-5490"/>
        <s v="445-30-9252"/>
        <s v="786-94-2700"/>
        <s v="728-88-7867"/>
        <s v="183-21-3799"/>
        <s v="268-20-3585"/>
        <s v="735-32-9839"/>
        <s v="258-92-7466"/>
        <s v="857-16-3520"/>
        <s v="482-17-1179"/>
        <s v="788-21-5741"/>
        <s v="821-14-9046"/>
        <s v="418-05-0656"/>
        <s v="678-79-0726"/>
        <s v="776-68-1096"/>
        <s v="592-46-1692"/>
        <s v="434-35-9162"/>
        <s v="149-14-0304"/>
        <s v="442-44-6497"/>
        <s v="174-64-0215"/>
        <s v="210-74-9613"/>
        <s v="299-29-0180"/>
        <s v="247-11-2470"/>
        <s v="635-28-5728"/>
        <s v="756-49-0168"/>
        <s v="438-23-1242"/>
        <s v="238-45-6950"/>
        <s v="607-65-2441"/>
        <s v="386-27-7606"/>
        <s v="137-63-5492"/>
        <s v="197-77-7132"/>
        <s v="805-86-0265"/>
        <s v="733-29-1227"/>
        <s v="451-73-2711"/>
        <s v="373-14-0504"/>
        <s v="546-80-2899"/>
        <s v="345-68-9016"/>
        <s v="390-17-5806"/>
        <s v="457-13-1708"/>
        <s v="664-14-2882"/>
        <s v="487-79-6868"/>
        <s v="314-23-4520"/>
        <s v="210-30-7976"/>
        <s v="585-86-8361"/>
        <s v="807-14-7833"/>
        <s v="775-72-1988"/>
        <s v="288-38-3758"/>
        <s v="652-43-6591"/>
        <s v="785-96-0615"/>
        <s v="406-46-7107"/>
        <s v="250-17-5703"/>
        <s v="156-95-3964"/>
        <s v="842-40-8179"/>
        <s v="525-09-8450"/>
        <s v="410-67-1709"/>
        <s v="587-73-4862"/>
        <s v="787-87-2010"/>
        <s v="593-14-4239"/>
        <s v="801-88-0346"/>
        <s v="388-76-2555"/>
        <s v="711-31-1234"/>
        <s v="886-54-6089"/>
        <s v="707-32-7409"/>
        <s v="759-98-4285"/>
        <s v="201-63-8275"/>
        <s v="471-06-8611"/>
        <s v="200-16-5952"/>
        <s v="120-54-2248"/>
        <s v="102-77-2261"/>
        <s v="875-31-8302"/>
        <s v="102-06-2002"/>
        <s v="457-94-0464"/>
        <s v="629-42-4133"/>
        <s v="534-53-3526"/>
        <s v="307-04-2070"/>
        <s v="468-99-7231"/>
        <s v="516-77-6464"/>
        <s v="404-91-5964"/>
        <s v="886-77-9084"/>
        <s v="790-38-4466"/>
        <s v="704-10-4056"/>
        <s v="497-37-6538"/>
        <s v="651-96-5970"/>
        <s v="400-80-4065"/>
        <s v="744-16-7898"/>
        <s v="263-12-5321"/>
        <s v="702-72-0487"/>
        <s v="605-83-1050"/>
        <s v="443-60-9639"/>
        <s v="864-24-7918"/>
        <s v="359-94-5395"/>
        <s v="401-09-4232"/>
        <s v="751-15-6198"/>
        <s v="324-41-6833"/>
        <s v="474-33-8305"/>
        <s v="759-29-9521"/>
        <s v="831-81-6575"/>
        <s v="220-68-6701"/>
        <s v="618-34-8551"/>
        <s v="257-60-7754"/>
        <s v="559-61-5987"/>
        <s v="189-55-2313"/>
        <s v="565-91-4567"/>
        <s v="380-60-5336"/>
        <s v="815-04-6282"/>
        <s v="674-56-6360"/>
        <s v="778-34-2523"/>
        <s v="499-27-7781"/>
        <s v="477-59-2456"/>
        <s v="832-51-6761"/>
        <s v="869-11-3082"/>
        <s v="190-59-3964"/>
        <s v="366-43-6862"/>
        <s v="186-43-8965"/>
        <s v="784-21-9238"/>
        <s v="276-75-6884"/>
        <s v="109-86-4363"/>
        <s v="569-76-2760"/>
        <s v="222-42-0244"/>
        <s v="760-53-9233"/>
        <s v="538-22-0304"/>
        <s v="416-17-9926"/>
        <s v="237-44-6163"/>
        <s v="636-17-0325"/>
        <s v="343-75-9322"/>
        <s v="528-14-9470"/>
        <s v="427-45-9297"/>
        <s v="807-34-3742"/>
        <s v="288-62-1085"/>
        <s v="670-71-7306"/>
        <s v="660-29-7083"/>
        <s v="271-77-8740"/>
        <s v="497-36-0989"/>
        <s v="291-59-1384"/>
        <s v="860-73-6466"/>
        <s v="549-23-9016"/>
        <s v="896-34-0956"/>
        <s v="804-38-3935"/>
        <s v="585-90-0249"/>
        <s v="862-29-5914"/>
        <s v="845-94-6841"/>
        <s v="125-45-2293"/>
        <s v="843-73-4724"/>
        <s v="409-33-9708"/>
        <s v="658-66-3967"/>
        <s v="866-70-2814"/>
        <s v="160-22-2687"/>
        <s v="895-03-6665"/>
        <s v="770-42-8960"/>
        <s v="748-45-2862"/>
        <s v="234-36-2483"/>
        <s v="316-66-3011"/>
        <s v="848-95-6252"/>
        <s v="840-76-5966"/>
        <s v="152-03-4217"/>
        <s v="533-66-5566"/>
        <s v="124-31-1458"/>
        <s v="176-78-1170"/>
        <s v="361-59-0574"/>
        <s v="101-81-4070"/>
        <s v="631-34-1880"/>
        <s v="852-82-2749"/>
        <s v="873-14-6353"/>
        <s v="584-66-4073"/>
        <s v="544-55-9589"/>
        <s v="166-19-2553"/>
        <s v="737-88-5876"/>
        <s v="154-87-7367"/>
        <s v="885-56-0389"/>
        <s v="608-05-3804"/>
        <s v="448-61-3783"/>
        <s v="761-49-0439"/>
        <s v="490-95-0021"/>
        <s v="115-38-7388"/>
        <s v="311-13-6971"/>
        <s v="291-55-6563"/>
        <s v="548-48-3156"/>
        <s v="460-93-5834"/>
        <s v="325-89-4209"/>
        <s v="884-80-6021"/>
        <s v="137-74-8729"/>
        <s v="880-46-5796"/>
        <s v="389-70-2397"/>
        <s v="114-35-5271"/>
        <s v="607-76-6216"/>
        <s v="715-20-1673"/>
        <s v="811-35-1094"/>
        <s v="699-88-1972"/>
        <s v="781-84-8059"/>
        <s v="409-49-6995"/>
        <s v="725-54-0677"/>
        <s v="146-09-5432"/>
        <s v="377-79-7592"/>
        <s v="509-10-0516"/>
        <s v="595-94-9924"/>
        <s v="865-41-9075"/>
        <s v="545-07-8534"/>
        <s v="118-62-1812"/>
        <s v="450-42-3339"/>
        <s v="851-98-3555"/>
        <s v="186-71-5196"/>
        <s v="624-01-8356"/>
        <s v="313-66-9943"/>
        <s v="151-27-8496"/>
        <s v="453-33-6436"/>
        <s v="522-57-8364"/>
        <s v="459-45-2396"/>
        <s v="717-96-4189"/>
        <s v="722-13-2115"/>
        <s v="749-81-8133"/>
        <s v="777-67-2495"/>
        <s v="636-98-3364"/>
        <s v="246-55-6923"/>
        <s v="181-82-6255"/>
        <s v="838-02-1821"/>
        <s v="887-42-0517"/>
        <s v="457-12-0244"/>
        <s v="226-34-0034"/>
        <s v="321-49-7382"/>
        <s v="397-25-8725"/>
        <s v="431-66-2305"/>
        <s v="825-94-5922"/>
        <s v="641-62-7288"/>
        <s v="756-93-1854"/>
        <s v="243-55-8457"/>
        <s v="458-10-8612"/>
        <s v="501-61-1753"/>
        <s v="235-06-8510"/>
        <s v="433-08-7822"/>
        <s v="361-85-2571"/>
        <s v="131-70-8179"/>
        <s v="500-02-2261"/>
        <s v="720-72-2436"/>
        <s v="702-83-5291"/>
        <s v="809-69-9497"/>
        <s v="449-16-6770"/>
        <s v="333-23-2632"/>
        <s v="489-82-1237"/>
        <s v="859-97-6048"/>
        <s v="676-10-2200"/>
        <s v="373-88-1424"/>
        <s v="365-16-4334"/>
        <s v="503-21-4385"/>
        <s v="305-89-2768"/>
        <s v="574-80-1489"/>
        <s v="784-08-0310"/>
        <s v="200-40-6154"/>
        <s v="846-10-0341"/>
        <s v="577-34-7579"/>
        <s v="430-02-3888"/>
        <s v="867-47-1948"/>
        <s v="384-59-6655"/>
        <s v="256-58-3609"/>
        <s v="324-92-3863"/>
        <s v="593-08-5916"/>
        <s v="364-34-2972"/>
        <s v="794-42-3736"/>
        <s v="172-42-8274"/>
        <s v="558-60-5016"/>
        <s v="195-06-0432"/>
        <s v="605-03-2706"/>
        <s v="214-30-2776"/>
        <s v="746-04-1077"/>
        <s v="448-34-8700"/>
        <s v="452-04-8808"/>
        <s v="531-56-4728"/>
        <s v="744-82-9138"/>
        <s v="883-69-1285"/>
        <s v="221-25-5073"/>
        <s v="518-71-6847"/>
        <s v="156-20-0370"/>
        <s v="151-33-7434"/>
        <s v="728-47-9078"/>
        <s v="809-46-1866"/>
        <s v="139-32-4183"/>
        <s v="148-41-7930"/>
        <s v="189-40-5216"/>
        <s v="374-38-5555"/>
        <s v="764-44-8999"/>
        <s v="552-44-5977"/>
        <s v="267-62-7380"/>
        <s v="430-53-4718"/>
        <s v="886-18-2897"/>
        <s v="602-16-6955"/>
        <s v="745-74-0715"/>
        <s v="690-01-6631"/>
        <s v="652-49-6720"/>
        <s v="233-67-5758"/>
        <s v="303-96-2227"/>
        <s v="727-02-1313"/>
        <s v="347-56-2442"/>
        <s v="849-09-3807"/>
        <m/>
      </sharedItems>
    </cacheField>
    <cacheField name="Branch" numFmtId="0">
      <sharedItems containsBlank="1"/>
    </cacheField>
    <cacheField name="City" numFmtId="0">
      <sharedItems containsBlank="1"/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/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0">
      <sharedItems containsString="0" containsBlank="1" containsNumber="1" minValue="0.50849999999999995" maxValue="49.65"/>
    </cacheField>
    <cacheField name="Sales" numFmtId="0">
      <sharedItems containsString="0" containsBlank="1" containsNumber="1" minValue="10.6785" maxValue="1042.6500000000001"/>
    </cacheField>
    <cacheField name="Date" numFmtId="0">
      <sharedItems containsDate="1" containsBlank="1" containsMixedTypes="1" minDate="2019-01-01T00:00:00" maxDate="2019-12-04T00:00:00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0">
      <sharedItems containsString="0" containsBlank="1" containsNumber="1" minValue="10.17" maxValue="993"/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Sales Category:" numFmtId="0">
      <sharedItems containsBlank="1" count="4">
        <m/>
        <s v="Medium Sale"/>
        <s v="Low Sale"/>
        <s v="High Sale"/>
      </sharedItems>
    </cacheField>
    <cacheField name="Profit Margin %" numFmtId="0">
      <sharedItems containsString="0" containsBlank="1" containsNumber="1" minValue="4.761904761904761" maxValue="4.7619047619047628"/>
    </cacheField>
    <cacheField name="Customer Satisfaction" numFmtId="0">
      <sharedItems containsBlank="1"/>
    </cacheField>
    <cacheField name="Revenue Contribution %" numFmtId="10">
      <sharedItems containsBlank="1" containsMixedTypes="1" containsNumber="1" minValue="5.0164606883416333E-5" maxValue="322317.45"/>
    </cacheField>
    <cacheField name="Time of Day" numFmtId="0">
      <sharedItems containsBlank="1" count="6">
        <m/>
        <s v="Afternoon"/>
        <s v="Morning"/>
        <s v="Evening"/>
        <s v="avg"/>
        <s v="s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x v="0"/>
    <s v="Yangon"/>
    <s v="Member"/>
    <s v="Female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</r>
  <r>
    <s v="226-31-3081"/>
    <x v="1"/>
    <s v="Naypyitaw"/>
    <s v="Normal"/>
    <s v="Female"/>
    <x v="1"/>
    <n v="15.28"/>
    <n v="5"/>
    <n v="3.82"/>
    <n v="80.22"/>
    <d v="2019-08-03T00:00:00"/>
    <d v="1899-12-30T10:29:00"/>
    <s v="Cash"/>
    <n v="76.400000000000006"/>
    <n v="4.7619047620000003"/>
    <n v="3.82"/>
    <n v="9.6"/>
  </r>
  <r>
    <s v="631-41-3108"/>
    <x v="0"/>
    <s v="Yangon"/>
    <s v="Normal"/>
    <s v="Fe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</r>
  <r>
    <s v="123-19-1176"/>
    <x v="0"/>
    <s v="Yangon"/>
    <s v="Member"/>
    <s v="Female"/>
    <x v="0"/>
    <n v="58.22"/>
    <n v="8"/>
    <n v="23.288"/>
    <n v="489.048"/>
    <s v="1/27/2019"/>
    <d v="1899-12-30T20:33:00"/>
    <s v="Ewallet"/>
    <n v="465.76"/>
    <n v="4.7619047620000003"/>
    <n v="23.288"/>
    <n v="8.4"/>
  </r>
  <r>
    <s v="373-73-7910"/>
    <x v="0"/>
    <s v="Yangon"/>
    <s v="Member"/>
    <s v="Female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</r>
  <r>
    <s v="699-14-3026"/>
    <x v="1"/>
    <s v="Naypyitaw"/>
    <s v="Member"/>
    <s v="Female"/>
    <x v="1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</r>
  <r>
    <s v="355-53-5943"/>
    <x v="0"/>
    <s v="Yangon"/>
    <s v="Member"/>
    <s v="Female"/>
    <x v="1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</r>
  <r>
    <s v="315-22-5665"/>
    <x v="1"/>
    <s v="Naypyitaw"/>
    <s v="Member"/>
    <s v="Female"/>
    <x v="2"/>
    <n v="73.56"/>
    <n v="10"/>
    <n v="36.78"/>
    <n v="772.38"/>
    <s v="2/24/2019"/>
    <d v="1899-12-30T11:38:00"/>
    <s v="Ewallet"/>
    <n v="735.6"/>
    <n v="4.7619047620000003"/>
    <n v="36.78"/>
    <n v="8"/>
  </r>
  <r>
    <s v="665-32-9167"/>
    <x v="0"/>
    <s v="Yangon"/>
    <s v="Member"/>
    <s v="Female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</r>
  <r>
    <s v="692-92-5582"/>
    <x v="2"/>
    <s v="Mandalay"/>
    <s v="Member"/>
    <s v="Female"/>
    <x v="4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</r>
  <r>
    <s v="351-62-0822"/>
    <x v="2"/>
    <s v="Mandalay"/>
    <s v="Member"/>
    <s v="Female"/>
    <x v="5"/>
    <n v="14.48"/>
    <n v="4"/>
    <n v="2.8959999999999999"/>
    <n v="60.816000000000003"/>
    <d v="2019-06-02T00:00:00"/>
    <d v="1899-12-30T18:07:00"/>
    <s v="Ewallet"/>
    <n v="57.92"/>
    <n v="4.7619047620000003"/>
    <n v="2.8959999999999999"/>
    <n v="4.5"/>
  </r>
  <r>
    <s v="529-56-3974"/>
    <x v="2"/>
    <s v="Mandalay"/>
    <s v="Member"/>
    <s v="Female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</r>
  <r>
    <s v="365-64-0515"/>
    <x v="0"/>
    <s v="Yangon"/>
    <s v="Member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</r>
  <r>
    <s v="252-56-2699"/>
    <x v="0"/>
    <s v="Yangon"/>
    <s v="Member"/>
    <s v="Female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</r>
  <r>
    <s v="829-34-3910"/>
    <x v="0"/>
    <s v="Yangon"/>
    <s v="Member"/>
    <s v="Female"/>
    <x v="0"/>
    <n v="71.38"/>
    <n v="10"/>
    <n v="35.69"/>
    <n v="749.49"/>
    <s v="3/29/2019"/>
    <d v="1899-12-30T19:21:00"/>
    <s v="Cash"/>
    <n v="713.8"/>
    <n v="4.7619047620000003"/>
    <n v="35.69"/>
    <n v="5.7"/>
  </r>
  <r>
    <s v="299-46-1805"/>
    <x v="2"/>
    <s v="Mandalay"/>
    <s v="Member"/>
    <s v="Female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</r>
  <r>
    <s v="656-95-9349"/>
    <x v="0"/>
    <s v="Yangon"/>
    <s v="Member"/>
    <s v="Female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</r>
  <r>
    <s v="765-26-6951"/>
    <x v="0"/>
    <s v="Yangon"/>
    <s v="Member"/>
    <s v="Fe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</r>
  <r>
    <s v="329-62-1586"/>
    <x v="0"/>
    <s v="Yangon"/>
    <s v="Member"/>
    <s v="Female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</r>
  <r>
    <s v="319-50-3348"/>
    <x v="2"/>
    <s v="Mandalay"/>
    <s v="Member"/>
    <s v="Female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</r>
  <r>
    <s v="300-71-4605"/>
    <x v="1"/>
    <s v="Naypyitaw"/>
    <s v="Member"/>
    <s v="Female"/>
    <x v="1"/>
    <n v="86.04"/>
    <n v="5"/>
    <n v="21.51"/>
    <n v="451.71"/>
    <s v="2/25/2019"/>
    <d v="1899-12-30T11:24:00"/>
    <s v="Ewallet"/>
    <n v="430.2"/>
    <n v="4.7619047620000003"/>
    <n v="21.51"/>
    <n v="4.8"/>
  </r>
  <r>
    <s v="371-85-5789"/>
    <x v="2"/>
    <s v="Mandalay"/>
    <s v="Member"/>
    <s v="Female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</r>
  <r>
    <s v="273-16-6619"/>
    <x v="2"/>
    <s v="Mandalay"/>
    <s v="Member"/>
    <s v="Female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</r>
  <r>
    <s v="636-48-8204"/>
    <x v="0"/>
    <s v="Yangon"/>
    <s v="Member"/>
    <s v="Female"/>
    <x v="1"/>
    <n v="34.56"/>
    <n v="5"/>
    <n v="8.64"/>
    <n v="181.44"/>
    <s v="2/17/2019"/>
    <d v="1899-12-30T11:15:00"/>
    <s v="Ewallet"/>
    <n v="172.8"/>
    <n v="4.7619047620000003"/>
    <n v="8.64"/>
    <n v="9.9"/>
  </r>
  <r>
    <s v="549-59-1358"/>
    <x v="0"/>
    <s v="Yangon"/>
    <s v="Member"/>
    <s v="Female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</r>
  <r>
    <s v="227-03-5010"/>
    <x v="0"/>
    <s v="Yangon"/>
    <s v="Member"/>
    <s v="Female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</r>
  <r>
    <s v="649-29-6775"/>
    <x v="2"/>
    <s v="Mandalay"/>
    <s v="Member"/>
    <s v="Female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</r>
  <r>
    <s v="189-17-4241"/>
    <x v="0"/>
    <s v="Yangon"/>
    <s v="Member"/>
    <s v="Female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</r>
  <r>
    <s v="145-94-9061"/>
    <x v="2"/>
    <s v="Mandalay"/>
    <s v="Member"/>
    <s v="Female"/>
    <x v="4"/>
    <n v="88.36"/>
    <n v="5"/>
    <n v="22.09"/>
    <n v="463.89"/>
    <s v="1/25/2019"/>
    <d v="1899-12-30T19:48:00"/>
    <s v="Cash"/>
    <n v="441.8"/>
    <n v="4.7619047620000003"/>
    <n v="22.09"/>
    <n v="9.6"/>
  </r>
  <r>
    <s v="848-62-7243"/>
    <x v="0"/>
    <s v="Yangon"/>
    <s v="Member"/>
    <s v="Female"/>
    <x v="0"/>
    <n v="24.89"/>
    <n v="9"/>
    <n v="11.2005"/>
    <n v="235.2105"/>
    <s v="3/15/2019"/>
    <d v="1899-12-30T15:36:00"/>
    <s v="Cash"/>
    <n v="224.01"/>
    <n v="4.7619047620000003"/>
    <n v="11.2005"/>
    <n v="7.4"/>
  </r>
  <r>
    <s v="871-79-8483"/>
    <x v="2"/>
    <s v="Mandalay"/>
    <s v="Member"/>
    <s v="Female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</r>
  <r>
    <s v="149-71-6266"/>
    <x v="2"/>
    <s v="Mandalay"/>
    <s v="Member"/>
    <s v="Female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</r>
  <r>
    <s v="640-49-2076"/>
    <x v="2"/>
    <s v="Mandalay"/>
    <s v="Member"/>
    <s v="Female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</r>
  <r>
    <s v="595-11-5460"/>
    <x v="0"/>
    <s v="Yangon"/>
    <s v="Member"/>
    <s v="Female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</r>
  <r>
    <s v="183-56-6882"/>
    <x v="1"/>
    <s v="Naypyitaw"/>
    <s v="Member"/>
    <s v="Female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</r>
  <r>
    <s v="232-16-2483"/>
    <x v="1"/>
    <s v="Naypyitaw"/>
    <s v="Member"/>
    <s v="Female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</r>
  <r>
    <s v="129-29-8530"/>
    <x v="0"/>
    <s v="Yangon"/>
    <s v="Member"/>
    <s v="Female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</r>
  <r>
    <s v="272-65-1806"/>
    <x v="0"/>
    <s v="Yangon"/>
    <s v="Member"/>
    <s v="Female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</r>
  <r>
    <s v="333-73-7901"/>
    <x v="1"/>
    <s v="Naypyitaw"/>
    <s v="Member"/>
    <s v="Female"/>
    <x v="0"/>
    <n v="54.92"/>
    <n v="8"/>
    <n v="21.968"/>
    <n v="461.32799999999997"/>
    <s v="3/23/2019"/>
    <d v="1899-12-30T13:24:00"/>
    <s v="Ewallet"/>
    <n v="439.36"/>
    <n v="4.7619047620000003"/>
    <n v="21.968"/>
    <n v="7.6"/>
  </r>
  <r>
    <s v="777-82-7220"/>
    <x v="2"/>
    <s v="Mandalay"/>
    <s v="Member"/>
    <s v="Fe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</r>
  <r>
    <s v="280-35-5823"/>
    <x v="2"/>
    <s v="Mandalay"/>
    <s v="Member"/>
    <s v="Female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</r>
  <r>
    <s v="554-53-8700"/>
    <x v="1"/>
    <s v="Naypyitaw"/>
    <s v="Member"/>
    <s v="Fe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</r>
  <r>
    <s v="354-25-5821"/>
    <x v="2"/>
    <s v="Mandalay"/>
    <s v="Member"/>
    <s v="Female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</r>
  <r>
    <s v="228-96-1411"/>
    <x v="1"/>
    <s v="Naypyitaw"/>
    <s v="Member"/>
    <s v="Female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</r>
  <r>
    <s v="617-15-4209"/>
    <x v="1"/>
    <s v="Naypyitaw"/>
    <s v="Member"/>
    <s v="Female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</r>
  <r>
    <s v="132-32-9879"/>
    <x v="2"/>
    <s v="Mandalay"/>
    <s v="Member"/>
    <s v="Female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</r>
  <r>
    <s v="370-41-7321"/>
    <x v="2"/>
    <s v="Mandalay"/>
    <s v="Member"/>
    <s v="Female"/>
    <x v="0"/>
    <n v="56.69"/>
    <n v="9"/>
    <n v="25.5105"/>
    <n v="535.72050000000002"/>
    <s v="2/27/2019"/>
    <d v="1899-12-30T17:24:00"/>
    <s v="Credit card"/>
    <n v="510.21"/>
    <n v="4.7619047620000003"/>
    <n v="25.5105"/>
    <n v="8.4"/>
  </r>
  <r>
    <s v="727-46-3608"/>
    <x v="2"/>
    <s v="Mandalay"/>
    <s v="Member"/>
    <s v="Female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</r>
  <r>
    <s v="669-54-1719"/>
    <x v="2"/>
    <s v="Mandalay"/>
    <s v="Member"/>
    <s v="Female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</r>
  <r>
    <s v="574-22-5561"/>
    <x v="1"/>
    <s v="Naypyitaw"/>
    <s v="Member"/>
    <s v="Female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</r>
  <r>
    <s v="326-78-5178"/>
    <x v="1"/>
    <s v="Naypyitaw"/>
    <s v="Member"/>
    <s v="Female"/>
    <x v="4"/>
    <n v="91.4"/>
    <n v="7"/>
    <n v="31.99"/>
    <n v="671.79"/>
    <d v="2019-03-02T00:00:00"/>
    <d v="1899-12-30T10:19:00"/>
    <s v="Cash"/>
    <n v="639.79999999999995"/>
    <n v="4.7619047620000003"/>
    <n v="31.99"/>
    <n v="9.5"/>
  </r>
  <r>
    <s v="162-48-8011"/>
    <x v="0"/>
    <s v="Yangon"/>
    <s v="Member"/>
    <s v="Female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</r>
  <r>
    <s v="616-24-2851"/>
    <x v="2"/>
    <s v="Mandalay"/>
    <s v="Member"/>
    <s v="Female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</r>
  <r>
    <s v="778-71-5554"/>
    <x v="1"/>
    <s v="Naypyitaw"/>
    <s v="Member"/>
    <s v="Female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</r>
  <r>
    <s v="242-55-6721"/>
    <x v="2"/>
    <s v="Mandalay"/>
    <s v="Member"/>
    <s v="Female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</r>
  <r>
    <s v="399-46-5918"/>
    <x v="1"/>
    <s v="Naypyitaw"/>
    <s v="Member"/>
    <s v="Female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</r>
  <r>
    <s v="106-35-6779"/>
    <x v="0"/>
    <s v="Yangon"/>
    <s v="Member"/>
    <s v="Female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</r>
  <r>
    <s v="635-40-6220"/>
    <x v="0"/>
    <s v="Yangon"/>
    <s v="Member"/>
    <s v="Female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</r>
  <r>
    <s v="817-48-8732"/>
    <x v="0"/>
    <s v="Yangon"/>
    <s v="Member"/>
    <s v="Female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</r>
  <r>
    <s v="120-06-4233"/>
    <x v="1"/>
    <s v="Naypyitaw"/>
    <s v="Member"/>
    <s v="Female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</r>
  <r>
    <s v="285-68-5083"/>
    <x v="1"/>
    <s v="Naypyitaw"/>
    <s v="Member"/>
    <s v="Female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</r>
  <r>
    <s v="803-83-5989"/>
    <x v="1"/>
    <s v="Naypyitaw"/>
    <s v="Member"/>
    <s v="Female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</r>
  <r>
    <s v="347-34-2234"/>
    <x v="2"/>
    <s v="Mandalay"/>
    <s v="Member"/>
    <s v="Female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</r>
  <r>
    <s v="199-75-8169"/>
    <x v="0"/>
    <s v="Yangon"/>
    <s v="Member"/>
    <s v="Female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</r>
  <r>
    <s v="853-23-2453"/>
    <x v="2"/>
    <s v="Mandalay"/>
    <s v="Member"/>
    <s v="Female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</r>
  <r>
    <s v="877-22-3308"/>
    <x v="0"/>
    <s v="Yangon"/>
    <s v="Member"/>
    <s v="Female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</r>
  <r>
    <s v="838-78-4295"/>
    <x v="1"/>
    <s v="Naypyitaw"/>
    <s v="Member"/>
    <s v="Female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</r>
  <r>
    <s v="109-28-2512"/>
    <x v="2"/>
    <s v="Mandalay"/>
    <s v="Member"/>
    <s v="Female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</r>
  <r>
    <s v="232-11-3025"/>
    <x v="0"/>
    <s v="Yangon"/>
    <s v="Member"/>
    <s v="Female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</r>
  <r>
    <s v="382-03-4532"/>
    <x v="0"/>
    <s v="Yangon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</r>
  <r>
    <s v="393-65-2792"/>
    <x v="1"/>
    <s v="Naypyitaw"/>
    <s v="Member"/>
    <s v="Female"/>
    <x v="4"/>
    <n v="89.48"/>
    <n v="10"/>
    <n v="44.74"/>
    <n v="939.54"/>
    <d v="2019-06-01T00:00:00"/>
    <d v="1899-12-30T12:46:00"/>
    <s v="Credit card"/>
    <n v="894.8"/>
    <n v="4.7619047620000003"/>
    <n v="44.74"/>
    <n v="9.6"/>
  </r>
  <r>
    <s v="796-12-2025"/>
    <x v="1"/>
    <s v="Naypyitaw"/>
    <s v="Member"/>
    <s v="Female"/>
    <x v="5"/>
    <n v="62.12"/>
    <n v="10"/>
    <n v="31.06"/>
    <n v="652.26"/>
    <d v="2019-11-02T00:00:00"/>
    <d v="1899-12-30T16:19:00"/>
    <s v="Cash"/>
    <n v="621.20000000000005"/>
    <n v="4.7619047620000003"/>
    <n v="31.06"/>
    <n v="5.9"/>
  </r>
  <r>
    <s v="510-95-6347"/>
    <x v="2"/>
    <s v="Mandalay"/>
    <s v="Member"/>
    <s v="Female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</r>
  <r>
    <s v="841-35-6630"/>
    <x v="1"/>
    <s v="Naypyitaw"/>
    <s v="Member"/>
    <s v="Female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</r>
  <r>
    <s v="287-21-9091"/>
    <x v="0"/>
    <s v="Yangon"/>
    <s v="Member"/>
    <s v="Female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</r>
  <r>
    <s v="732-94-0499"/>
    <x v="1"/>
    <s v="Naypyitaw"/>
    <s v="Member"/>
    <s v="Female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</r>
  <r>
    <s v="263-10-3913"/>
    <x v="1"/>
    <s v="Naypyitaw"/>
    <s v="Member"/>
    <s v="Female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</r>
  <r>
    <s v="381-20-0914"/>
    <x v="0"/>
    <s v="Yangon"/>
    <s v="Member"/>
    <s v="Female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</r>
  <r>
    <s v="829-49-1914"/>
    <x v="1"/>
    <s v="Naypyitaw"/>
    <s v="Member"/>
    <s v="Female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</r>
  <r>
    <s v="756-01-7507"/>
    <x v="1"/>
    <s v="Naypyitaw"/>
    <s v="Member"/>
    <s v="Female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</r>
  <r>
    <s v="870-72-4431"/>
    <x v="1"/>
    <s v="Naypyitaw"/>
    <s v="Member"/>
    <s v="Female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</r>
  <r>
    <s v="847-38-7188"/>
    <x v="2"/>
    <s v="Mandalay"/>
    <s v="Member"/>
    <s v="Female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</r>
  <r>
    <s v="480-63-2856"/>
    <x v="1"/>
    <s v="Naypyitaw"/>
    <s v="Member"/>
    <s v="Female"/>
    <x v="4"/>
    <n v="19.25"/>
    <n v="8"/>
    <n v="7.7"/>
    <n v="161.69999999999999"/>
    <s v="1/23/2019"/>
    <d v="1899-12-30T18:37:00"/>
    <s v="Ewallet"/>
    <n v="154"/>
    <n v="4.7619047620000003"/>
    <n v="7.7"/>
    <n v="6.6"/>
  </r>
  <r>
    <s v="787-56-0757"/>
    <x v="1"/>
    <s v="Naypyitaw"/>
    <s v="Member"/>
    <s v="Female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</r>
  <r>
    <s v="360-39-5055"/>
    <x v="1"/>
    <s v="Naypyitaw"/>
    <s v="Member"/>
    <s v="Female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</r>
  <r>
    <s v="730-50-9884"/>
    <x v="1"/>
    <s v="Naypyitaw"/>
    <s v="Member"/>
    <s v="Female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</r>
  <r>
    <s v="362-58-8315"/>
    <x v="1"/>
    <s v="Naypyitaw"/>
    <s v="Member"/>
    <s v="Female"/>
    <x v="5"/>
    <n v="76.52"/>
    <n v="5"/>
    <n v="19.13"/>
    <n v="401.73"/>
    <s v="3/25/2019"/>
    <d v="1899-12-30T10:23:00"/>
    <s v="Cash"/>
    <n v="382.6"/>
    <n v="4.7619047620000003"/>
    <n v="19.13"/>
    <n v="9.9"/>
  </r>
  <r>
    <s v="633-44-8566"/>
    <x v="0"/>
    <s v="Yangon"/>
    <s v="Member"/>
    <s v="Female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</r>
  <r>
    <s v="504-35-8843"/>
    <x v="0"/>
    <s v="Yangon"/>
    <s v="Member"/>
    <s v="Female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</r>
  <r>
    <s v="318-68-5053"/>
    <x v="2"/>
    <s v="Mandalay"/>
    <s v="Member"/>
    <s v="Female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</r>
  <r>
    <s v="565-80-5980"/>
    <x v="1"/>
    <s v="Naypyitaw"/>
    <s v="Member"/>
    <s v="Female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</r>
  <r>
    <s v="225-32-0908"/>
    <x v="1"/>
    <s v="Naypyitaw"/>
    <s v="Member"/>
    <s v="Female"/>
    <x v="3"/>
    <n v="44.86"/>
    <n v="10"/>
    <n v="22.43"/>
    <n v="471.03"/>
    <s v="1/26/2019"/>
    <d v="1899-12-30T19:54:00"/>
    <s v="Ewallet"/>
    <n v="448.6"/>
    <n v="4.7619047620000003"/>
    <n v="22.43"/>
    <n v="8.1999999999999993"/>
  </r>
  <r>
    <s v="873-51-0671"/>
    <x v="0"/>
    <s v="Yangon"/>
    <s v="Member"/>
    <s v="Female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</r>
  <r>
    <s v="152-08-9985"/>
    <x v="2"/>
    <s v="Mandalay"/>
    <s v="Member"/>
    <s v="Female"/>
    <x v="0"/>
    <n v="64.36"/>
    <n v="9"/>
    <n v="28.962"/>
    <n v="608.202"/>
    <d v="2019-12-03T00:00:00"/>
    <d v="1899-12-30T12:09:00"/>
    <s v="Credit card"/>
    <n v="579.24"/>
    <n v="4.7619047620000003"/>
    <n v="28.962"/>
    <n v="8.6"/>
  </r>
  <r>
    <s v="512-91-0811"/>
    <x v="1"/>
    <s v="Naypyitaw"/>
    <s v="Member"/>
    <s v="Female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</r>
  <r>
    <s v="594-34-4444"/>
    <x v="0"/>
    <s v="Yangon"/>
    <s v="Member"/>
    <s v="Female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</r>
  <r>
    <s v="766-85-7061"/>
    <x v="2"/>
    <s v="Mandalay"/>
    <s v="Member"/>
    <s v="Female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</r>
  <r>
    <s v="871-39-9221"/>
    <x v="1"/>
    <s v="Naypyitaw"/>
    <s v="Member"/>
    <s v="Female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</r>
  <r>
    <s v="865-92-6136"/>
    <x v="0"/>
    <s v="Yangon"/>
    <s v="Member"/>
    <s v="Female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</r>
  <r>
    <s v="733-01-9107"/>
    <x v="2"/>
    <s v="Mandalay"/>
    <s v="Member"/>
    <s v="Female"/>
    <x v="2"/>
    <n v="82.7"/>
    <n v="6"/>
    <n v="24.81"/>
    <n v="521.01"/>
    <d v="2019-05-03T00:00:00"/>
    <d v="1899-12-30T18:14:00"/>
    <s v="Cash"/>
    <n v="496.2"/>
    <n v="4.7619047620000003"/>
    <n v="24.81"/>
    <n v="7.4"/>
  </r>
  <r>
    <s v="163-56-7055"/>
    <x v="1"/>
    <s v="Naypyitaw"/>
    <s v="Member"/>
    <s v="Female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</r>
  <r>
    <s v="189-98-2939"/>
    <x v="1"/>
    <s v="Naypyitaw"/>
    <s v="Member"/>
    <s v="Female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</r>
  <r>
    <s v="551-21-3069"/>
    <x v="1"/>
    <s v="Naypyitaw"/>
    <s v="Member"/>
    <s v="Female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</r>
  <r>
    <s v="212-62-1842"/>
    <x v="0"/>
    <s v="Yangon"/>
    <s v="Member"/>
    <s v="Female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</r>
  <r>
    <s v="716-39-1409"/>
    <x v="2"/>
    <s v="Mandalay"/>
    <s v="Member"/>
    <s v="Female"/>
    <x v="0"/>
    <n v="30.35"/>
    <n v="7"/>
    <n v="10.6225"/>
    <n v="223.07249999999999"/>
    <s v="3/19/2019"/>
    <d v="1899-12-30T18:19:00"/>
    <s v="Cash"/>
    <n v="212.45"/>
    <n v="4.7619047620000003"/>
    <n v="10.6225"/>
    <n v="8"/>
  </r>
  <r>
    <s v="704-48-3927"/>
    <x v="0"/>
    <s v="Yangon"/>
    <s v="Member"/>
    <s v="Fe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</r>
  <r>
    <s v="628-34-3388"/>
    <x v="1"/>
    <s v="Naypyitaw"/>
    <s v="Member"/>
    <s v="Female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</r>
  <r>
    <s v="630-74-5166"/>
    <x v="0"/>
    <s v="Yangon"/>
    <s v="Member"/>
    <s v="Female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</r>
  <r>
    <s v="588-01-7461"/>
    <x v="1"/>
    <s v="Naypyitaw"/>
    <s v="Member"/>
    <s v="Female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</r>
  <r>
    <s v="861-77-0145"/>
    <x v="1"/>
    <s v="Naypyitaw"/>
    <s v="Member"/>
    <s v="Fe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</r>
  <r>
    <s v="479-26-8945"/>
    <x v="2"/>
    <s v="Mandalay"/>
    <s v="Member"/>
    <s v="Female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</r>
  <r>
    <s v="210-67-5886"/>
    <x v="1"/>
    <s v="Naypyitaw"/>
    <s v="Member"/>
    <s v="Female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</r>
  <r>
    <s v="227-78-1148"/>
    <x v="2"/>
    <s v="Mandalay"/>
    <s v="Member"/>
    <s v="Female"/>
    <x v="5"/>
    <n v="72.84"/>
    <n v="7"/>
    <n v="25.494"/>
    <n v="535.37400000000002"/>
    <s v="2/15/2019"/>
    <d v="1899-12-30T12:44:00"/>
    <s v="Cash"/>
    <n v="509.88"/>
    <n v="4.7619047620000003"/>
    <n v="25.494"/>
    <n v="8.4"/>
  </r>
  <r>
    <s v="645-44-1170"/>
    <x v="0"/>
    <s v="Yangon"/>
    <s v="Member"/>
    <s v="Female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</r>
  <r>
    <s v="237-01-6122"/>
    <x v="1"/>
    <s v="Naypyitaw"/>
    <s v="Member"/>
    <s v="Female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</r>
  <r>
    <s v="225-98-1496"/>
    <x v="1"/>
    <s v="Naypyitaw"/>
    <s v="Member"/>
    <s v="Female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</r>
  <r>
    <s v="291-32-1427"/>
    <x v="2"/>
    <s v="Mandalay"/>
    <s v="Member"/>
    <s v="Female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</r>
  <r>
    <s v="659-65-8956"/>
    <x v="2"/>
    <s v="Mandalay"/>
    <s v="Member"/>
    <s v="Female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</r>
  <r>
    <s v="642-32-2990"/>
    <x v="0"/>
    <s v="Yangon"/>
    <s v="Member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</r>
  <r>
    <s v="378-24-2715"/>
    <x v="2"/>
    <s v="Mandalay"/>
    <s v="Member"/>
    <s v="Female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</r>
  <r>
    <s v="638-60-7125"/>
    <x v="0"/>
    <s v="Yangon"/>
    <s v="Member"/>
    <s v="Female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</r>
  <r>
    <s v="659-36-1684"/>
    <x v="1"/>
    <s v="Naypyitaw"/>
    <s v="Member"/>
    <s v="Female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</r>
  <r>
    <s v="219-22-9386"/>
    <x v="2"/>
    <s v="Mandalay"/>
    <s v="Member"/>
    <s v="Female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</r>
  <r>
    <s v="336-78-2147"/>
    <x v="1"/>
    <s v="Naypyitaw"/>
    <s v="Member"/>
    <s v="Female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</r>
  <r>
    <s v="268-27-6179"/>
    <x v="2"/>
    <s v="Mandalay"/>
    <s v="Member"/>
    <s v="Female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</r>
  <r>
    <s v="668-90-8900"/>
    <x v="0"/>
    <s v="Yangon"/>
    <s v="Member"/>
    <s v="Female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</r>
  <r>
    <s v="870-54-3162"/>
    <x v="0"/>
    <s v="Yangon"/>
    <s v="Member"/>
    <s v="Female"/>
    <x v="3"/>
    <n v="32.25"/>
    <n v="5"/>
    <n v="8.0625"/>
    <n v="169.3125"/>
    <s v="1/27/2019"/>
    <d v="1899-12-30T13:26:00"/>
    <s v="Cash"/>
    <n v="161.25"/>
    <n v="4.7619047620000003"/>
    <n v="8.0625"/>
    <n v="9"/>
  </r>
  <r>
    <s v="189-08-9157"/>
    <x v="1"/>
    <s v="Naypyitaw"/>
    <s v="Member"/>
    <s v="Female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</r>
  <r>
    <s v="663-86-9076"/>
    <x v="1"/>
    <s v="Naypyitaw"/>
    <s v="Member"/>
    <s v="Female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</r>
  <r>
    <s v="549-84-7482"/>
    <x v="2"/>
    <s v="Mandalay"/>
    <s v="Member"/>
    <s v="Female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</r>
  <r>
    <s v="191-10-6171"/>
    <x v="2"/>
    <s v="Mandalay"/>
    <s v="Normal"/>
    <s v="Female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</r>
  <r>
    <s v="802-70-5316"/>
    <x v="0"/>
    <s v="Yangon"/>
    <s v="Member"/>
    <s v="Female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</r>
  <r>
    <s v="695-51-0018"/>
    <x v="2"/>
    <s v="Mandalay"/>
    <s v="Normal"/>
    <s v="Female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</r>
  <r>
    <s v="590-83-4591"/>
    <x v="2"/>
    <s v="Mandalay"/>
    <s v="Member"/>
    <s v="Female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</r>
  <r>
    <s v="483-71-1164"/>
    <x v="1"/>
    <s v="Naypyitaw"/>
    <s v="Normal"/>
    <s v="Female"/>
    <x v="0"/>
    <n v="81.3"/>
    <n v="6"/>
    <n v="24.39"/>
    <n v="512.19000000000005"/>
    <d v="2019-08-03T00:00:00"/>
    <d v="1899-12-30T16:43:00"/>
    <s v="Ewallet"/>
    <n v="487.8"/>
    <n v="4.7619047620000003"/>
    <n v="24.39"/>
    <n v="5.3"/>
  </r>
  <r>
    <s v="597-78-7908"/>
    <x v="1"/>
    <s v="Naypyitaw"/>
    <s v="Normal"/>
    <s v="Female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</r>
  <r>
    <s v="700-81-1757"/>
    <x v="0"/>
    <s v="Yangon"/>
    <s v="Normal"/>
    <s v="Female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</r>
  <r>
    <s v="354-39-5160"/>
    <x v="0"/>
    <s v="Yangon"/>
    <s v="Member"/>
    <s v="Female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</r>
  <r>
    <s v="241-72-9525"/>
    <x v="2"/>
    <s v="Mandalay"/>
    <s v="Normal"/>
    <s v="Female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</r>
  <r>
    <s v="575-30-8091"/>
    <x v="0"/>
    <s v="Yangon"/>
    <s v="Normal"/>
    <s v="Female"/>
    <x v="3"/>
    <n v="72.5"/>
    <n v="8"/>
    <n v="29"/>
    <n v="609"/>
    <s v="3/16/2019"/>
    <d v="1899-12-30T19:25:00"/>
    <s v="Ewallet"/>
    <n v="580"/>
    <n v="4.7619047620000003"/>
    <n v="29"/>
    <n v="9.1999999999999993"/>
  </r>
  <r>
    <s v="731-81-9469"/>
    <x v="1"/>
    <s v="Naypyitaw"/>
    <s v="Member"/>
    <s v="Female"/>
    <x v="3"/>
    <n v="89.8"/>
    <n v="10"/>
    <n v="44.9"/>
    <n v="942.9"/>
    <s v="1/23/2019"/>
    <d v="1899-12-30T13:00:00"/>
    <s v="Credit card"/>
    <n v="898"/>
    <n v="4.7619047620000003"/>
    <n v="44.9"/>
    <n v="5.4"/>
  </r>
  <r>
    <s v="280-17-4359"/>
    <x v="1"/>
    <s v="Naypyitaw"/>
    <s v="Member"/>
    <s v="Male"/>
    <x v="0"/>
    <n v="90.5"/>
    <n v="10"/>
    <n v="45.25"/>
    <n v="950.25"/>
    <s v="1/25/2019"/>
    <d v="1899-12-30T13:48:00"/>
    <s v="Cash"/>
    <n v="905"/>
    <n v="4.7619047620000003"/>
    <n v="45.25"/>
    <n v="8.1"/>
  </r>
  <r>
    <s v="338-65-2210"/>
    <x v="1"/>
    <s v="Naypyitaw"/>
    <s v="Member"/>
    <s v="Female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</r>
  <r>
    <s v="488-25-4221"/>
    <x v="1"/>
    <s v="Naypyitaw"/>
    <s v="Member"/>
    <s v="Female"/>
    <x v="4"/>
    <n v="30.41"/>
    <n v="1"/>
    <n v="1.5205"/>
    <n v="31.930499999999999"/>
    <s v="2/22/2019"/>
    <d v="1899-12-30T10:36:00"/>
    <s v="Credit card"/>
    <n v="30.41"/>
    <n v="4.7619047620000003"/>
    <n v="1.5205"/>
    <n v="8.4"/>
  </r>
  <r>
    <s v="239-10-7476"/>
    <x v="0"/>
    <s v="Yangon"/>
    <s v="Normal"/>
    <s v="Female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</r>
  <r>
    <s v="458-41-1477"/>
    <x v="1"/>
    <s v="Naypyitaw"/>
    <s v="Normal"/>
    <s v="Female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</r>
  <r>
    <s v="685-64-1609"/>
    <x v="0"/>
    <s v="Yangon"/>
    <s v="Member"/>
    <s v="Female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</r>
  <r>
    <s v="568-90-5112"/>
    <x v="1"/>
    <s v="Naypyitaw"/>
    <s v="Normal"/>
    <s v="Male"/>
    <x v="0"/>
    <n v="66.14"/>
    <n v="4"/>
    <n v="13.228"/>
    <n v="277.78800000000001"/>
    <s v="3/19/2019"/>
    <d v="1899-12-30T12:46:00"/>
    <s v="Credit card"/>
    <n v="264.56"/>
    <n v="4.7619047620000003"/>
    <n v="13.228"/>
    <n v="5.6"/>
  </r>
  <r>
    <s v="262-47-2794"/>
    <x v="2"/>
    <s v="Mandalay"/>
    <s v="Member"/>
    <s v="Male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</r>
  <r>
    <s v="238-49-0436"/>
    <x v="0"/>
    <s v="Yangon"/>
    <s v="Normal"/>
    <s v="Male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</r>
  <r>
    <s v="608-96-3517"/>
    <x v="2"/>
    <s v="Mandalay"/>
    <s v="Member"/>
    <s v="Female"/>
    <x v="5"/>
    <n v="91.54"/>
    <n v="4"/>
    <n v="18.308"/>
    <n v="384.46800000000002"/>
    <s v="3/23/2019"/>
    <d v="1899-12-30T19:20:00"/>
    <s v="Credit card"/>
    <n v="366.16"/>
    <n v="4.7619047620000003"/>
    <n v="18.308"/>
    <n v="4.8"/>
  </r>
  <r>
    <s v="584-86-7256"/>
    <x v="1"/>
    <s v="Naypyitaw"/>
    <s v="Member"/>
    <s v="Male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</r>
  <r>
    <s v="746-94-0204"/>
    <x v="0"/>
    <s v="Yangon"/>
    <s v="Normal"/>
    <s v="Male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</r>
  <r>
    <s v="214-17-6927"/>
    <x v="1"/>
    <s v="Naypyitaw"/>
    <s v="Normal"/>
    <s v="Female"/>
    <x v="4"/>
    <n v="16.48"/>
    <n v="6"/>
    <n v="4.944"/>
    <n v="103.824"/>
    <d v="2019-07-02T00:00:00"/>
    <d v="1899-12-30T18:23:00"/>
    <s v="Ewallet"/>
    <n v="98.88"/>
    <n v="4.7619047620000003"/>
    <n v="4.944"/>
    <n v="9.9"/>
  </r>
  <r>
    <s v="400-89-4171"/>
    <x v="1"/>
    <s v="Naypyitaw"/>
    <s v="Normal"/>
    <s v="Female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</r>
  <r>
    <s v="782-95-9291"/>
    <x v="0"/>
    <s v="Yangon"/>
    <s v="Member"/>
    <s v="Male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</r>
  <r>
    <s v="279-74-2924"/>
    <x v="2"/>
    <s v="Mandalay"/>
    <s v="Member"/>
    <s v="Male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</r>
  <r>
    <s v="307-85-2293"/>
    <x v="2"/>
    <s v="Mandalay"/>
    <s v="Normal"/>
    <s v="Male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</r>
  <r>
    <s v="743-04-1105"/>
    <x v="2"/>
    <s v="Mandalay"/>
    <s v="Member"/>
    <s v="Male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</r>
  <r>
    <s v="423-57-2993"/>
    <x v="2"/>
    <s v="Mandalay"/>
    <s v="Normal"/>
    <s v="Male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</r>
  <r>
    <s v="894-41-5205"/>
    <x v="1"/>
    <s v="Naypyitaw"/>
    <s v="Normal"/>
    <s v="Female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</r>
  <r>
    <s v="275-28-0149"/>
    <x v="0"/>
    <s v="Yangon"/>
    <s v="Normal"/>
    <s v="Male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</r>
  <r>
    <s v="101-17-6199"/>
    <x v="0"/>
    <s v="Yangon"/>
    <s v="Normal"/>
    <s v="Male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</r>
  <r>
    <s v="423-80-0988"/>
    <x v="1"/>
    <s v="Naypyitaw"/>
    <s v="Normal"/>
    <s v="Male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</r>
  <r>
    <s v="548-46-9322"/>
    <x v="2"/>
    <s v="Mandalay"/>
    <s v="Normal"/>
    <s v="Male"/>
    <x v="4"/>
    <n v="39.9"/>
    <n v="10"/>
    <n v="19.95"/>
    <n v="418.95"/>
    <s v="2/20/2019"/>
    <d v="1899-12-30T15:24:00"/>
    <s v="Credit card"/>
    <n v="399"/>
    <n v="4.7619047620000003"/>
    <n v="19.95"/>
    <n v="5.9"/>
  </r>
  <r>
    <s v="505-02-0892"/>
    <x v="2"/>
    <s v="Mandalay"/>
    <s v="Member"/>
    <s v="Male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</r>
  <r>
    <s v="234-65-2137"/>
    <x v="1"/>
    <s v="Naypyitaw"/>
    <s v="Normal"/>
    <s v="Male"/>
    <x v="2"/>
    <n v="95.58"/>
    <n v="10"/>
    <n v="47.79"/>
    <n v="1003.59"/>
    <s v="1/16/2019"/>
    <d v="1899-12-30T13:32:00"/>
    <s v="Cash"/>
    <n v="955.8"/>
    <n v="4.7619047620000003"/>
    <n v="47.79"/>
    <n v="4.8"/>
  </r>
  <r>
    <s v="687-47-8271"/>
    <x v="0"/>
    <s v="Yangon"/>
    <s v="Normal"/>
    <s v="Male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</r>
  <r>
    <s v="796-32-9050"/>
    <x v="0"/>
    <s v="Yangon"/>
    <s v="Normal"/>
    <s v="Male"/>
    <x v="4"/>
    <n v="51.28"/>
    <n v="6"/>
    <n v="15.384"/>
    <n v="323.06400000000002"/>
    <s v="1/19/2019"/>
    <d v="1899-12-30T16:31:00"/>
    <s v="Cash"/>
    <n v="307.68"/>
    <n v="4.7619047620000003"/>
    <n v="15.384"/>
    <n v="6.5"/>
  </r>
  <r>
    <s v="105-31-1824"/>
    <x v="0"/>
    <s v="Yangon"/>
    <s v="Member"/>
    <s v="Male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</r>
  <r>
    <s v="249-42-3782"/>
    <x v="0"/>
    <s v="Yangon"/>
    <s v="Normal"/>
    <s v="Male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</r>
  <r>
    <s v="316-55-4634"/>
    <x v="2"/>
    <s v="Mandalay"/>
    <s v="Member"/>
    <s v="Male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</r>
  <r>
    <s v="733-33-4967"/>
    <x v="1"/>
    <s v="Naypyitaw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</r>
  <r>
    <s v="608-27-6295"/>
    <x v="2"/>
    <s v="Mandalay"/>
    <s v="Member"/>
    <s v="Male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</r>
  <r>
    <s v="414-12-7047"/>
    <x v="2"/>
    <s v="Mandalay"/>
    <s v="Normal"/>
    <s v="Male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</r>
  <r>
    <s v="827-26-2100"/>
    <x v="0"/>
    <s v="Yangon"/>
    <s v="Member"/>
    <s v="Male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</r>
  <r>
    <s v="175-54-2529"/>
    <x v="0"/>
    <s v="Yangon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</r>
  <r>
    <s v="139-52-2867"/>
    <x v="1"/>
    <s v="Naypyitaw"/>
    <s v="Normal"/>
    <s v="Female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</r>
  <r>
    <s v="407-63-8975"/>
    <x v="0"/>
    <s v="Yangon"/>
    <s v="Normal"/>
    <s v="Male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</r>
  <r>
    <s v="342-65-4817"/>
    <x v="1"/>
    <s v="Naypyitaw"/>
    <s v="Member"/>
    <s v="Male"/>
    <x v="0"/>
    <n v="86.8"/>
    <n v="3"/>
    <n v="13.02"/>
    <n v="273.42"/>
    <s v="1/28/2019"/>
    <d v="1899-12-30T16:47:00"/>
    <s v="Ewallet"/>
    <n v="260.39999999999998"/>
    <n v="4.7619047620000003"/>
    <n v="13.02"/>
    <n v="9.9"/>
  </r>
  <r>
    <s v="130-98-8941"/>
    <x v="1"/>
    <s v="Naypyitaw"/>
    <s v="Normal"/>
    <s v="Male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</r>
  <r>
    <s v="434-83-9547"/>
    <x v="1"/>
    <s v="Naypyitaw"/>
    <s v="Member"/>
    <s v="Male"/>
    <x v="4"/>
    <n v="38.47"/>
    <n v="8"/>
    <n v="15.388"/>
    <n v="323.14800000000002"/>
    <s v="1/23/2019"/>
    <d v="1899-12-30T11:51:00"/>
    <s v="Cash"/>
    <n v="307.76"/>
    <n v="4.7619047620000003"/>
    <n v="15.388"/>
    <n v="7.7"/>
  </r>
  <r>
    <s v="851-28-6367"/>
    <x v="0"/>
    <s v="Yangon"/>
    <s v="Member"/>
    <s v="Male"/>
    <x v="3"/>
    <n v="15.5"/>
    <n v="10"/>
    <n v="7.75"/>
    <n v="162.75"/>
    <s v="3/23/2019"/>
    <d v="1899-12-30T10:55:00"/>
    <s v="Ewallet"/>
    <n v="155"/>
    <n v="4.7619047620000003"/>
    <n v="7.75"/>
    <n v="8"/>
  </r>
  <r>
    <s v="824-88-3614"/>
    <x v="1"/>
    <s v="Naypyitaw"/>
    <s v="Normal"/>
    <s v="Male"/>
    <x v="0"/>
    <n v="34.31"/>
    <n v="8"/>
    <n v="13.724"/>
    <n v="288.20400000000001"/>
    <s v="1/25/2019"/>
    <d v="1899-12-30T15:00:00"/>
    <s v="Ewallet"/>
    <n v="274.48"/>
    <n v="4.7619047620000003"/>
    <n v="13.724"/>
    <n v="5.7"/>
  </r>
  <r>
    <s v="586-25-0848"/>
    <x v="0"/>
    <s v="Yangon"/>
    <s v="Normal"/>
    <s v="Female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</r>
  <r>
    <s v="895-66-0685"/>
    <x v="2"/>
    <s v="Mandalay"/>
    <s v="Member"/>
    <s v="Male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</r>
  <r>
    <s v="305-14-0245"/>
    <x v="2"/>
    <s v="Mandalay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</r>
  <r>
    <s v="732-04-5373"/>
    <x v="2"/>
    <s v="Mandalay"/>
    <s v="Member"/>
    <s v="Male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</r>
  <r>
    <s v="400-60-7251"/>
    <x v="0"/>
    <s v="Yangon"/>
    <s v="Normal"/>
    <s v="Male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</r>
  <r>
    <s v="593-65-1552"/>
    <x v="1"/>
    <s v="Naypyitaw"/>
    <s v="Normal"/>
    <s v="Female"/>
    <x v="2"/>
    <n v="69.81"/>
    <n v="4"/>
    <n v="13.962"/>
    <n v="293.202"/>
    <s v="1/28/2019"/>
    <d v="1899-12-30T20:50:00"/>
    <s v="Credit card"/>
    <n v="279.24"/>
    <n v="4.7619047620000003"/>
    <n v="13.962"/>
    <n v="5.9"/>
  </r>
  <r>
    <s v="284-34-9626"/>
    <x v="2"/>
    <s v="Mandalay"/>
    <s v="Normal"/>
    <s v="Female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</r>
  <r>
    <s v="437-58-8131"/>
    <x v="2"/>
    <s v="Mandalay"/>
    <s v="Normal"/>
    <s v="Female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</r>
  <r>
    <s v="286-43-6208"/>
    <x v="1"/>
    <s v="Naypyitaw"/>
    <s v="Normal"/>
    <s v="Female"/>
    <x v="4"/>
    <n v="87.8"/>
    <n v="9"/>
    <n v="39.51"/>
    <n v="829.71"/>
    <s v="3/16/2019"/>
    <d v="1899-12-30T19:08:00"/>
    <s v="Cash"/>
    <n v="790.2"/>
    <n v="4.7619047620000003"/>
    <n v="39.51"/>
    <n v="9.1999999999999993"/>
  </r>
  <r>
    <s v="641-43-2399"/>
    <x v="2"/>
    <s v="Mandalay"/>
    <s v="Normal"/>
    <s v="Male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</r>
  <r>
    <s v="831-07-6050"/>
    <x v="0"/>
    <s v="Yangon"/>
    <s v="Normal"/>
    <s v="Male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</r>
  <r>
    <s v="556-86-3144"/>
    <x v="1"/>
    <s v="Naypyitaw"/>
    <s v="Member"/>
    <s v="Female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</r>
  <r>
    <s v="848-24-9445"/>
    <x v="1"/>
    <s v="Naypyitaw"/>
    <s v="Member"/>
    <s v="Male"/>
    <x v="0"/>
    <n v="43.7"/>
    <n v="2"/>
    <n v="4.37"/>
    <n v="91.77"/>
    <s v="3/26/2019"/>
    <d v="1899-12-30T18:03:00"/>
    <s v="Cash"/>
    <n v="87.4"/>
    <n v="4.7619047620000003"/>
    <n v="4.37"/>
    <n v="4.9000000000000004"/>
  </r>
  <r>
    <s v="856-22-8149"/>
    <x v="0"/>
    <s v="Yangon"/>
    <s v="Normal"/>
    <s v="Female"/>
    <x v="2"/>
    <n v="25.29"/>
    <n v="1"/>
    <n v="1.2645"/>
    <n v="26.554500000000001"/>
    <s v="3/23/2019"/>
    <d v="1899-12-30T10:13:00"/>
    <s v="Ewallet"/>
    <n v="25.29"/>
    <n v="4.7619047620000003"/>
    <n v="1.2645"/>
    <n v="6.1"/>
  </r>
  <r>
    <s v="699-01-4164"/>
    <x v="1"/>
    <s v="Naypyitaw"/>
    <s v="Normal"/>
    <s v="Male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</r>
  <r>
    <s v="420-11-4919"/>
    <x v="1"/>
    <s v="Naypyitaw"/>
    <s v="Member"/>
    <s v="Female"/>
    <x v="4"/>
    <n v="71.39"/>
    <n v="5"/>
    <n v="17.8475"/>
    <n v="374.79750000000001"/>
    <s v="2/17/2019"/>
    <d v="1899-12-30T19:57:00"/>
    <s v="Credit card"/>
    <n v="356.95"/>
    <n v="4.7619047620000003"/>
    <n v="17.8475"/>
    <n v="5.5"/>
  </r>
  <r>
    <s v="606-80-4905"/>
    <x v="1"/>
    <s v="Naypyitaw"/>
    <s v="Member"/>
    <s v="Female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</r>
  <r>
    <s v="542-41-0513"/>
    <x v="2"/>
    <s v="Mandalay"/>
    <s v="Member"/>
    <s v="Female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</r>
  <r>
    <s v="426-39-2418"/>
    <x v="1"/>
    <s v="Naypyitaw"/>
    <s v="Normal"/>
    <s v="Male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</r>
  <r>
    <s v="875-46-5808"/>
    <x v="2"/>
    <s v="Mandalay"/>
    <s v="Member"/>
    <s v="Male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</r>
  <r>
    <s v="394-43-4238"/>
    <x v="2"/>
    <s v="Mandalay"/>
    <s v="Member"/>
    <s v="Male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</r>
  <r>
    <s v="749-24-1565"/>
    <x v="0"/>
    <s v="Yangon"/>
    <s v="Normal"/>
    <s v="Female"/>
    <x v="0"/>
    <n v="23.03"/>
    <n v="9"/>
    <n v="10.3635"/>
    <n v="217.6335"/>
    <d v="2019-03-01T00:00:00"/>
    <d v="1899-12-30T12:02:00"/>
    <s v="Ewallet"/>
    <n v="207.27"/>
    <n v="4.7619047620000003"/>
    <n v="10.3635"/>
    <n v="7.9"/>
  </r>
  <r>
    <s v="672-51-8681"/>
    <x v="1"/>
    <s v="Naypyitaw"/>
    <s v="Member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</r>
  <r>
    <s v="263-87-5680"/>
    <x v="1"/>
    <s v="Naypyitaw"/>
    <s v="Member"/>
    <s v="Female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</r>
  <r>
    <s v="573-58-9734"/>
    <x v="2"/>
    <s v="Mandalay"/>
    <s v="Normal"/>
    <s v="Female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</r>
  <r>
    <s v="817-69-8206"/>
    <x v="2"/>
    <s v="Mandalay"/>
    <s v="Normal"/>
    <s v="Female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</r>
  <r>
    <s v="888-02-0338"/>
    <x v="0"/>
    <s v="Yangon"/>
    <s v="Normal"/>
    <s v="Male"/>
    <x v="1"/>
    <n v="26.23"/>
    <n v="9"/>
    <n v="11.8035"/>
    <n v="247.87350000000001"/>
    <s v="1/25/2019"/>
    <d v="1899-12-30T20:24:00"/>
    <s v="Ewallet"/>
    <n v="236.07"/>
    <n v="4.7619047620000003"/>
    <n v="11.8035"/>
    <n v="5.9"/>
  </r>
  <r>
    <s v="677-11-0152"/>
    <x v="1"/>
    <s v="Naypyitaw"/>
    <s v="Normal"/>
    <s v="Female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</r>
  <r>
    <s v="142-63-6033"/>
    <x v="2"/>
    <s v="Mandalay"/>
    <s v="Normal"/>
    <s v="Male"/>
    <x v="2"/>
    <n v="92.36"/>
    <n v="5"/>
    <n v="23.09"/>
    <n v="484.89"/>
    <s v="3/20/2019"/>
    <d v="1899-12-30T19:17:00"/>
    <s v="Ewallet"/>
    <n v="461.8"/>
    <n v="4.7619047620000003"/>
    <n v="23.09"/>
    <n v="4.9000000000000004"/>
  </r>
  <r>
    <s v="656-16-1063"/>
    <x v="2"/>
    <s v="Mandalay"/>
    <s v="Normal"/>
    <s v="Male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</r>
  <r>
    <s v="891-58-8335"/>
    <x v="2"/>
    <s v="Mandalay"/>
    <s v="Member"/>
    <s v="Female"/>
    <x v="3"/>
    <n v="29.61"/>
    <n v="7"/>
    <n v="10.3635"/>
    <n v="217.6335"/>
    <d v="2019-11-03T00:00:00"/>
    <d v="1899-12-30T15:53:00"/>
    <s v="Cash"/>
    <n v="207.27"/>
    <n v="4.7619047620000003"/>
    <n v="10.3635"/>
    <n v="6.5"/>
  </r>
  <r>
    <s v="802-43-8934"/>
    <x v="0"/>
    <s v="Yangon"/>
    <s v="Normal"/>
    <s v="Male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</r>
  <r>
    <s v="560-30-5617"/>
    <x v="2"/>
    <s v="Mandalay"/>
    <s v="Normal"/>
    <s v="Female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</r>
  <r>
    <s v="319-74-2561"/>
    <x v="0"/>
    <s v="Yangon"/>
    <s v="Member"/>
    <s v="Female"/>
    <x v="1"/>
    <n v="94.64"/>
    <n v="3"/>
    <n v="14.196"/>
    <n v="298.11599999999999"/>
    <s v="2/21/2019"/>
    <d v="1899-12-30T16:55:00"/>
    <s v="Cash"/>
    <n v="283.92"/>
    <n v="4.7619047620000003"/>
    <n v="14.196"/>
    <n v="5.5"/>
  </r>
  <r>
    <s v="549-03-9315"/>
    <x v="2"/>
    <s v="Mandalay"/>
    <s v="Normal"/>
    <s v="Male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</r>
  <r>
    <s v="790-29-1172"/>
    <x v="2"/>
    <s v="Mandalay"/>
    <s v="Normal"/>
    <s v="Female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</r>
  <r>
    <s v="239-36-3640"/>
    <x v="2"/>
    <s v="Mandalay"/>
    <s v="Normal"/>
    <s v="Male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</r>
  <r>
    <s v="468-01-2051"/>
    <x v="2"/>
    <s v="Mandalay"/>
    <s v="Normal"/>
    <s v="Male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</r>
  <r>
    <s v="389-25-3394"/>
    <x v="1"/>
    <s v="Naypyitaw"/>
    <s v="Normal"/>
    <s v="Male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</r>
  <r>
    <s v="279-62-1445"/>
    <x v="1"/>
    <s v="Naypyitaw"/>
    <s v="Member"/>
    <s v="Female"/>
    <x v="5"/>
    <n v="12.54"/>
    <n v="1"/>
    <n v="0.627"/>
    <n v="13.167"/>
    <s v="2/21/2019"/>
    <d v="1899-12-30T12:38:00"/>
    <s v="Cash"/>
    <n v="12.54"/>
    <n v="4.7619047620000003"/>
    <n v="0.627"/>
    <n v="8.1999999999999993"/>
  </r>
  <r>
    <s v="213-72-6612"/>
    <x v="0"/>
    <s v="Yangon"/>
    <s v="Normal"/>
    <s v="Male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</r>
  <r>
    <s v="746-68-6593"/>
    <x v="1"/>
    <s v="Naypyitaw"/>
    <s v="Member"/>
    <s v="Female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</r>
  <r>
    <s v="836-82-5858"/>
    <x v="2"/>
    <s v="Mandalay"/>
    <s v="Member"/>
    <s v="Male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</r>
  <r>
    <s v="583-72-1480"/>
    <x v="1"/>
    <s v="Naypyitaw"/>
    <s v="Member"/>
    <s v="Male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</r>
  <r>
    <s v="466-61-5506"/>
    <x v="2"/>
    <s v="Mandalay"/>
    <s v="Member"/>
    <s v="Female"/>
    <x v="1"/>
    <n v="90.7"/>
    <n v="6"/>
    <n v="27.21"/>
    <n v="571.41"/>
    <s v="2/26/2019"/>
    <d v="1899-12-30T10:52:00"/>
    <s v="Cash"/>
    <n v="544.20000000000005"/>
    <n v="4.7619047620000003"/>
    <n v="27.21"/>
    <n v="5.3"/>
  </r>
  <r>
    <s v="721-86-6247"/>
    <x v="0"/>
    <s v="Yangon"/>
    <s v="Normal"/>
    <s v="Female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</r>
  <r>
    <s v="289-65-5721"/>
    <x v="2"/>
    <s v="Mandalay"/>
    <s v="Normal"/>
    <s v="Female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</r>
  <r>
    <s v="545-46-3100"/>
    <x v="2"/>
    <s v="Mandalay"/>
    <s v="Member"/>
    <s v="Female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</r>
  <r>
    <s v="418-02-5978"/>
    <x v="2"/>
    <s v="Mandalay"/>
    <s v="Normal"/>
    <s v="Female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</r>
  <r>
    <s v="269-04-5750"/>
    <x v="2"/>
    <s v="Mandalay"/>
    <s v="Member"/>
    <s v="Male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</r>
  <r>
    <s v="157-13-5295"/>
    <x v="0"/>
    <s v="Yangon"/>
    <s v="Member"/>
    <s v="Male"/>
    <x v="0"/>
    <n v="51.94"/>
    <n v="10"/>
    <n v="25.97"/>
    <n v="545.37"/>
    <d v="2019-09-03T00:00:00"/>
    <d v="1899-12-30T18:24:00"/>
    <s v="Ewallet"/>
    <n v="519.4"/>
    <n v="4.7619047620000003"/>
    <n v="25.97"/>
    <n v="6.5"/>
  </r>
  <r>
    <s v="645-78-8093"/>
    <x v="0"/>
    <s v="Yangon"/>
    <s v="Normal"/>
    <s v="Female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</r>
  <r>
    <s v="211-30-9270"/>
    <x v="1"/>
    <s v="Naypyitaw"/>
    <s v="Normal"/>
    <s v="Male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</r>
  <r>
    <s v="755-12-3214"/>
    <x v="1"/>
    <s v="Naypyitaw"/>
    <s v="Member"/>
    <s v="Female"/>
    <x v="5"/>
    <n v="44.22"/>
    <n v="5"/>
    <n v="11.055"/>
    <n v="232.155"/>
    <d v="2019-05-03T00:00:00"/>
    <d v="1899-12-30T17:07:00"/>
    <s v="Credit card"/>
    <n v="221.1"/>
    <n v="4.7619047620000003"/>
    <n v="11.055"/>
    <n v="8.6"/>
  </r>
  <r>
    <s v="346-84-3103"/>
    <x v="2"/>
    <s v="Mandalay"/>
    <s v="Member"/>
    <s v="Female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</r>
  <r>
    <s v="478-06-7835"/>
    <x v="0"/>
    <s v="Yangon"/>
    <s v="Normal"/>
    <s v="Male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</r>
  <r>
    <s v="540-11-4336"/>
    <x v="0"/>
    <s v="Yangon"/>
    <s v="Normal"/>
    <s v="Male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</r>
  <r>
    <s v="448-81-5016"/>
    <x v="0"/>
    <s v="Yangon"/>
    <s v="Normal"/>
    <s v="Male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</r>
  <r>
    <s v="142-72-4741"/>
    <x v="1"/>
    <s v="Naypyitaw"/>
    <s v="Member"/>
    <s v="Male"/>
    <x v="5"/>
    <n v="93.2"/>
    <n v="2"/>
    <n v="9.32"/>
    <n v="195.72"/>
    <s v="2/28/2019"/>
    <d v="1899-12-30T18:37:00"/>
    <s v="Credit card"/>
    <n v="186.4"/>
    <n v="4.7619047620000003"/>
    <n v="9.32"/>
    <n v="6"/>
  </r>
  <r>
    <s v="217-58-1179"/>
    <x v="0"/>
    <s v="Yangon"/>
    <s v="Member"/>
    <s v="Male"/>
    <x v="2"/>
    <n v="62.65"/>
    <n v="4"/>
    <n v="12.53"/>
    <n v="263.13"/>
    <d v="2019-05-01T00:00:00"/>
    <d v="1899-12-30T11:25:00"/>
    <s v="Cash"/>
    <n v="250.6"/>
    <n v="4.7619047620000003"/>
    <n v="12.53"/>
    <n v="4.2"/>
  </r>
  <r>
    <s v="376-02-8238"/>
    <x v="2"/>
    <s v="Mandalay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</r>
  <r>
    <s v="530-90-9855"/>
    <x v="0"/>
    <s v="Yangon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</r>
  <r>
    <s v="866-05-7563"/>
    <x v="2"/>
    <s v="Mandalay"/>
    <s v="Member"/>
    <s v="Female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</r>
  <r>
    <s v="604-70-6476"/>
    <x v="0"/>
    <s v="Yangon"/>
    <s v="Member"/>
    <s v="Male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</r>
  <r>
    <s v="799-71-1548"/>
    <x v="0"/>
    <s v="Yangon"/>
    <s v="Member"/>
    <s v="Male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</r>
  <r>
    <s v="785-13-7708"/>
    <x v="2"/>
    <s v="Mandalay"/>
    <s v="Normal"/>
    <s v="Male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</r>
  <r>
    <s v="845-51-0542"/>
    <x v="2"/>
    <s v="Mandalay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</r>
  <r>
    <s v="662-47-5456"/>
    <x v="1"/>
    <s v="Naypyitaw"/>
    <s v="Member"/>
    <s v="Male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</r>
  <r>
    <s v="883-17-4236"/>
    <x v="1"/>
    <s v="Naypyitaw"/>
    <s v="Normal"/>
    <s v="Female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</r>
  <r>
    <s v="290-68-2984"/>
    <x v="0"/>
    <s v="Yangon"/>
    <s v="Normal"/>
    <s v="Male"/>
    <x v="2"/>
    <n v="23.75"/>
    <n v="4"/>
    <n v="4.75"/>
    <n v="99.75"/>
    <s v="3/16/2019"/>
    <d v="1899-12-30T11:22:00"/>
    <s v="Cash"/>
    <n v="95"/>
    <n v="4.7619047620000003"/>
    <n v="4.75"/>
    <n v="5.2"/>
  </r>
  <r>
    <s v="704-11-6354"/>
    <x v="0"/>
    <s v="Yangon"/>
    <s v="Member"/>
    <s v="Male"/>
    <x v="2"/>
    <n v="58.9"/>
    <n v="8"/>
    <n v="23.56"/>
    <n v="494.76"/>
    <d v="2019-06-01T00:00:00"/>
    <d v="1899-12-30T11:23:00"/>
    <s v="Cash"/>
    <n v="471.2"/>
    <n v="4.7619047620000003"/>
    <n v="23.56"/>
    <n v="8.9"/>
  </r>
  <r>
    <s v="110-48-7033"/>
    <x v="2"/>
    <s v="Mandalay"/>
    <s v="Member"/>
    <s v="Male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</r>
  <r>
    <s v="366-93-0948"/>
    <x v="0"/>
    <s v="Yangon"/>
    <s v="Member"/>
    <s v="Male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</r>
  <r>
    <s v="729-09-9681"/>
    <x v="0"/>
    <s v="Yangon"/>
    <s v="Member"/>
    <s v="Male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</r>
  <r>
    <s v="151-16-1484"/>
    <x v="0"/>
    <s v="Yangon"/>
    <s v="Member"/>
    <s v="Male"/>
    <x v="1"/>
    <n v="32.25"/>
    <n v="4"/>
    <n v="6.45"/>
    <n v="135.44999999999999"/>
    <s v="2/13/2019"/>
    <d v="1899-12-30T12:38:00"/>
    <s v="Ewallet"/>
    <n v="129"/>
    <n v="4.7619047620000003"/>
    <n v="6.45"/>
    <n v="6.5"/>
  </r>
  <r>
    <s v="380-94-4661"/>
    <x v="1"/>
    <s v="Naypyitaw"/>
    <s v="Member"/>
    <s v="Male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</r>
  <r>
    <s v="850-41-9669"/>
    <x v="0"/>
    <s v="Yangon"/>
    <s v="Normal"/>
    <s v="Female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</r>
  <r>
    <s v="821-07-3596"/>
    <x v="1"/>
    <s v="Naypyitaw"/>
    <s v="Normal"/>
    <s v="Female"/>
    <x v="5"/>
    <n v="16.45"/>
    <n v="4"/>
    <n v="3.29"/>
    <n v="69.09"/>
    <d v="2019-07-03T00:00:00"/>
    <d v="1899-12-30T14:53:00"/>
    <s v="Ewallet"/>
    <n v="65.8"/>
    <n v="4.7619047620000003"/>
    <n v="3.29"/>
    <n v="5.6"/>
  </r>
  <r>
    <s v="655-85-5130"/>
    <x v="2"/>
    <s v="Mandalay"/>
    <s v="Member"/>
    <s v="Female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</r>
  <r>
    <s v="447-15-7839"/>
    <x v="0"/>
    <s v="Yangon"/>
    <s v="Member"/>
    <s v="Female"/>
    <x v="3"/>
    <n v="22.24"/>
    <n v="10"/>
    <n v="11.12"/>
    <n v="233.52"/>
    <d v="2019-09-02T00:00:00"/>
    <d v="1899-12-30T11:00:00"/>
    <s v="Cash"/>
    <n v="222.4"/>
    <n v="4.7619047620000003"/>
    <n v="11.12"/>
    <n v="4.2"/>
  </r>
  <r>
    <s v="154-74-7179"/>
    <x v="2"/>
    <s v="Mandalay"/>
    <s v="Normal"/>
    <s v="Male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</r>
  <r>
    <s v="253-12-6086"/>
    <x v="0"/>
    <s v="Yangon"/>
    <s v="Member"/>
    <s v="Female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</r>
  <r>
    <s v="808-65-0703"/>
    <x v="1"/>
    <s v="Naypyitaw"/>
    <s v="Normal"/>
    <s v="Male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</r>
  <r>
    <s v="571-94-0759"/>
    <x v="2"/>
    <s v="Mandalay"/>
    <s v="Member"/>
    <s v="Female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</r>
  <r>
    <s v="144-51-6085"/>
    <x v="0"/>
    <s v="Yangon"/>
    <s v="Member"/>
    <s v="Male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</r>
  <r>
    <s v="731-14-2199"/>
    <x v="0"/>
    <s v="Yangon"/>
    <s v="Member"/>
    <s v="Female"/>
    <x v="2"/>
    <n v="35.54"/>
    <n v="10"/>
    <n v="17.77"/>
    <n v="373.17"/>
    <d v="2019-04-01T00:00:00"/>
    <d v="1899-12-30T13:34:00"/>
    <s v="Ewallet"/>
    <n v="355.4"/>
    <n v="4.7619047620000003"/>
    <n v="17.77"/>
    <n v="7"/>
  </r>
  <r>
    <s v="783-09-1637"/>
    <x v="2"/>
    <s v="Mandalay"/>
    <s v="Normal"/>
    <s v="Female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</r>
  <r>
    <s v="687-15-1097"/>
    <x v="1"/>
    <s v="Naypyitaw"/>
    <s v="Member"/>
    <s v="Female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</r>
  <r>
    <s v="126-54-1082"/>
    <x v="0"/>
    <s v="Yangon"/>
    <s v="Member"/>
    <s v="Female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</r>
  <r>
    <s v="633-91-1052"/>
    <x v="0"/>
    <s v="Yangon"/>
    <s v="Normal"/>
    <s v="Female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</r>
  <r>
    <s v="477-24-6490"/>
    <x v="2"/>
    <s v="Mandalay"/>
    <s v="Normal"/>
    <s v="Female"/>
    <x v="0"/>
    <n v="99.71"/>
    <n v="6"/>
    <n v="29.913"/>
    <n v="628.173"/>
    <s v="2/26/2019"/>
    <d v="1899-12-30T16:52:00"/>
    <s v="Ewallet"/>
    <n v="598.26"/>
    <n v="4.7619047620000003"/>
    <n v="29.913"/>
    <n v="7.9"/>
  </r>
  <r>
    <s v="566-19-5475"/>
    <x v="2"/>
    <s v="Mandalay"/>
    <s v="Normal"/>
    <s v="Male"/>
    <x v="5"/>
    <n v="47.97"/>
    <n v="7"/>
    <n v="16.7895"/>
    <n v="352.5795"/>
    <d v="2019-07-01T00:00:00"/>
    <d v="1899-12-30T20:52:00"/>
    <s v="Cash"/>
    <n v="335.79"/>
    <n v="4.7619047620000003"/>
    <n v="16.7895"/>
    <n v="6.2"/>
  </r>
  <r>
    <s v="526-86-8552"/>
    <x v="1"/>
    <s v="Naypyitaw"/>
    <s v="Member"/>
    <s v="Female"/>
    <x v="2"/>
    <n v="21.82"/>
    <n v="10"/>
    <n v="10.91"/>
    <n v="229.11"/>
    <d v="2019-07-01T00:00:00"/>
    <d v="1899-12-30T17:36:00"/>
    <s v="Cash"/>
    <n v="218.2"/>
    <n v="4.7619047620000003"/>
    <n v="10.91"/>
    <n v="7.1"/>
  </r>
  <r>
    <s v="376-56-3573"/>
    <x v="1"/>
    <s v="Naypyitaw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</r>
  <r>
    <s v="537-72-0426"/>
    <x v="1"/>
    <s v="Naypyitaw"/>
    <s v="Member"/>
    <s v="Male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</r>
  <r>
    <s v="828-61-5674"/>
    <x v="0"/>
    <s v="Yangon"/>
    <s v="Member"/>
    <s v="Male"/>
    <x v="3"/>
    <n v="44.02"/>
    <n v="10"/>
    <n v="22.01"/>
    <n v="462.21"/>
    <s v="3/20/2019"/>
    <d v="1899-12-30T19:57:00"/>
    <s v="Credit card"/>
    <n v="440.2"/>
    <n v="4.7619047620000003"/>
    <n v="22.01"/>
    <n v="9.6"/>
  </r>
  <r>
    <s v="136-08-6195"/>
    <x v="0"/>
    <s v="Yangon"/>
    <s v="Normal"/>
    <s v="Female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</r>
  <r>
    <s v="523-38-0215"/>
    <x v="1"/>
    <s v="Naypyitaw"/>
    <s v="Normal"/>
    <s v="Male"/>
    <x v="2"/>
    <n v="37"/>
    <n v="1"/>
    <n v="1.85"/>
    <n v="38.85"/>
    <d v="2019-06-03T00:00:00"/>
    <d v="1899-12-30T13:29:00"/>
    <s v="Credit card"/>
    <n v="37"/>
    <n v="4.7619047620000003"/>
    <n v="1.85"/>
    <n v="7.9"/>
  </r>
  <r>
    <s v="490-29-1201"/>
    <x v="0"/>
    <s v="Yangon"/>
    <s v="Normal"/>
    <s v="Female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</r>
  <r>
    <s v="667-92-0055"/>
    <x v="0"/>
    <s v="Yangon"/>
    <s v="Member"/>
    <s v="Male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</r>
  <r>
    <s v="565-17-3836"/>
    <x v="0"/>
    <s v="Yangon"/>
    <s v="Member"/>
    <s v="Female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</r>
  <r>
    <s v="498-41-1961"/>
    <x v="2"/>
    <s v="Mandalay"/>
    <s v="Normal"/>
    <s v="Male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</r>
  <r>
    <s v="593-95-4461"/>
    <x v="1"/>
    <s v="Naypyitaw"/>
    <s v="Member"/>
    <s v="Male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</r>
  <r>
    <s v="226-71-3580"/>
    <x v="1"/>
    <s v="Naypyitaw"/>
    <s v="Normal"/>
    <s v="Female"/>
    <x v="3"/>
    <n v="23.75"/>
    <n v="9"/>
    <n v="10.6875"/>
    <n v="224.4375"/>
    <s v="1/31/2019"/>
    <d v="1899-12-30T12:02:00"/>
    <s v="Cash"/>
    <n v="213.75"/>
    <n v="4.7619047620000003"/>
    <n v="10.6875"/>
    <n v="9.5"/>
  </r>
  <r>
    <s v="283-79-9594"/>
    <x v="2"/>
    <s v="Mandalay"/>
    <s v="Normal"/>
    <s v="Female"/>
    <x v="4"/>
    <n v="48.51"/>
    <n v="7"/>
    <n v="16.9785"/>
    <n v="356.54849999999999"/>
    <s v="1/25/2019"/>
    <d v="1899-12-30T13:30:00"/>
    <s v="Credit card"/>
    <n v="339.57"/>
    <n v="4.7619047620000003"/>
    <n v="16.9785"/>
    <n v="5.2"/>
  </r>
  <r>
    <s v="430-60-3493"/>
    <x v="0"/>
    <s v="Yangon"/>
    <s v="Member"/>
    <s v="Female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</r>
  <r>
    <s v="139-20-0155"/>
    <x v="2"/>
    <s v="Mandalay"/>
    <s v="Member"/>
    <s v="Male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</r>
  <r>
    <s v="558-80-4082"/>
    <x v="1"/>
    <s v="Naypyitaw"/>
    <s v="Normal"/>
    <s v="Male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</r>
  <r>
    <s v="278-97-7759"/>
    <x v="0"/>
    <s v="Yangon"/>
    <s v="Member"/>
    <s v="Female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</r>
  <r>
    <s v="316-68-6352"/>
    <x v="0"/>
    <s v="Yangon"/>
    <s v="Member"/>
    <s v="Female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</r>
  <r>
    <s v="585-03-5943"/>
    <x v="2"/>
    <s v="Mandalay"/>
    <s v="Normal"/>
    <s v="Male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</r>
  <r>
    <s v="211-05-0490"/>
    <x v="1"/>
    <s v="Naypyitaw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</r>
  <r>
    <s v="727-75-6477"/>
    <x v="1"/>
    <s v="Naypyitaw"/>
    <s v="Normal"/>
    <s v="Male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</r>
  <r>
    <s v="744-02-5987"/>
    <x v="0"/>
    <s v="Yangon"/>
    <s v="Member"/>
    <s v="Male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</r>
  <r>
    <s v="307-83-9164"/>
    <x v="0"/>
    <s v="Yangon"/>
    <s v="Member"/>
    <s v="Male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</r>
  <r>
    <s v="779-06-0012"/>
    <x v="1"/>
    <s v="Naypyitaw"/>
    <s v="Member"/>
    <s v="Female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</r>
  <r>
    <s v="446-47-6729"/>
    <x v="1"/>
    <s v="Naypyitaw"/>
    <s v="Normal"/>
    <s v="Male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</r>
  <r>
    <s v="573-10-3877"/>
    <x v="2"/>
    <s v="Mandalay"/>
    <s v="Member"/>
    <s v="Male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</r>
  <r>
    <s v="735-06-4124"/>
    <x v="1"/>
    <s v="Naypyitaw"/>
    <s v="Normal"/>
    <s v="Male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</r>
  <r>
    <s v="439-54-7422"/>
    <x v="0"/>
    <s v="Yangon"/>
    <s v="Normal"/>
    <s v="Female"/>
    <x v="1"/>
    <n v="51.19"/>
    <n v="4"/>
    <n v="10.238"/>
    <n v="214.99799999999999"/>
    <s v="3/18/2019"/>
    <d v="1899-12-30T17:15:00"/>
    <s v="Credit card"/>
    <n v="204.76"/>
    <n v="4.7619047620000003"/>
    <n v="10.238"/>
    <n v="4.7"/>
  </r>
  <r>
    <s v="396-90-2219"/>
    <x v="2"/>
    <s v="Mandalay"/>
    <s v="Normal"/>
    <s v="Female"/>
    <x v="1"/>
    <n v="14.96"/>
    <n v="8"/>
    <n v="5.984"/>
    <n v="125.664"/>
    <s v="2/23/2019"/>
    <d v="1899-12-30T12:29:00"/>
    <s v="Cash"/>
    <n v="119.68"/>
    <n v="4.7619047620000003"/>
    <n v="5.984"/>
    <n v="8.6"/>
  </r>
  <r>
    <s v="411-77-0180"/>
    <x v="0"/>
    <s v="Yangon"/>
    <s v="Member"/>
    <s v="Male"/>
    <x v="1"/>
    <n v="72.2"/>
    <n v="7"/>
    <n v="25.27"/>
    <n v="530.66999999999996"/>
    <s v="3/26/2019"/>
    <d v="1899-12-30T20:14:00"/>
    <s v="Ewallet"/>
    <n v="505.4"/>
    <n v="4.7619047620000003"/>
    <n v="25.27"/>
    <n v="4.3"/>
  </r>
  <r>
    <s v="286-01-5402"/>
    <x v="0"/>
    <s v="Yangon"/>
    <s v="Normal"/>
    <s v="Female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</r>
  <r>
    <s v="803-17-8013"/>
    <x v="0"/>
    <s v="Yangon"/>
    <s v="Member"/>
    <s v="Female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</r>
  <r>
    <s v="512-98-1403"/>
    <x v="0"/>
    <s v="Yangon"/>
    <s v="Member"/>
    <s v="Female"/>
    <x v="1"/>
    <n v="26.48"/>
    <n v="3"/>
    <n v="3.972"/>
    <n v="83.412000000000006"/>
    <s v="3/21/2019"/>
    <d v="1899-12-30T10:40:00"/>
    <s v="Ewallet"/>
    <n v="79.44"/>
    <n v="4.7619047620000003"/>
    <n v="3.972"/>
    <n v="4.7"/>
  </r>
  <r>
    <s v="848-42-2560"/>
    <x v="0"/>
    <s v="Yangon"/>
    <s v="Normal"/>
    <s v="Female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</r>
  <r>
    <s v="532-59-7201"/>
    <x v="2"/>
    <s v="Mandalay"/>
    <s v="Member"/>
    <s v="Male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</r>
  <r>
    <s v="181-94-6432"/>
    <x v="1"/>
    <s v="Naypyitaw"/>
    <s v="Member"/>
    <s v="Male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</r>
  <r>
    <s v="870-76-1733"/>
    <x v="0"/>
    <s v="Yangon"/>
    <s v="Member"/>
    <s v="Female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</r>
  <r>
    <s v="423-64-4619"/>
    <x v="0"/>
    <s v="Yangon"/>
    <s v="Member"/>
    <s v="Female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</r>
  <r>
    <s v="227-07-4446"/>
    <x v="1"/>
    <s v="Naypyitaw"/>
    <s v="Member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</r>
  <r>
    <s v="174-36-3675"/>
    <x v="1"/>
    <s v="Naypyitaw"/>
    <s v="Member"/>
    <s v="Male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</r>
  <r>
    <s v="428-83-5800"/>
    <x v="1"/>
    <s v="Naypyitaw"/>
    <s v="Member"/>
    <s v="Female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</r>
  <r>
    <s v="603-07-0961"/>
    <x v="1"/>
    <s v="Naypyitaw"/>
    <s v="Member"/>
    <s v="Male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</r>
  <r>
    <s v="704-20-4138"/>
    <x v="1"/>
    <s v="Naypyitaw"/>
    <s v="Member"/>
    <s v="Female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</r>
  <r>
    <s v="787-15-1757"/>
    <x v="1"/>
    <s v="Naypyitaw"/>
    <s v="Member"/>
    <s v="Male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</r>
  <r>
    <s v="649-11-3678"/>
    <x v="1"/>
    <s v="Naypyitaw"/>
    <s v="Normal"/>
    <s v="Female"/>
    <x v="4"/>
    <n v="22.93"/>
    <n v="9"/>
    <n v="10.3185"/>
    <n v="216.6885"/>
    <s v="2/26/2019"/>
    <d v="1899-12-30T20:26:00"/>
    <s v="Cash"/>
    <n v="206.37"/>
    <n v="4.7619047620000003"/>
    <n v="10.3185"/>
    <n v="5.5"/>
  </r>
  <r>
    <s v="622-20-1945"/>
    <x v="1"/>
    <s v="Naypyitaw"/>
    <s v="Normal"/>
    <s v="Female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</r>
  <r>
    <s v="372-94-8041"/>
    <x v="0"/>
    <s v="Yangon"/>
    <s v="Normal"/>
    <s v="Male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</r>
  <r>
    <s v="563-91-7120"/>
    <x v="0"/>
    <s v="Yangon"/>
    <s v="Normal"/>
    <s v="Female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</r>
  <r>
    <s v="746-54-5508"/>
    <x v="0"/>
    <s v="Yangon"/>
    <s v="Normal"/>
    <s v="Male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</r>
  <r>
    <s v="276-54-0879"/>
    <x v="2"/>
    <s v="Mandalay"/>
    <s v="Normal"/>
    <s v="Male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</r>
  <r>
    <s v="815-11-1168"/>
    <x v="0"/>
    <s v="Yangon"/>
    <s v="Member"/>
    <s v="Male"/>
    <x v="4"/>
    <n v="99.78"/>
    <n v="5"/>
    <n v="24.945"/>
    <n v="523.84500000000003"/>
    <d v="2019-09-03T00:00:00"/>
    <d v="1899-12-30T19:09:00"/>
    <s v="Cash"/>
    <n v="498.9"/>
    <n v="4.7619047620000003"/>
    <n v="24.945"/>
    <n v="5.4"/>
  </r>
  <r>
    <s v="719-76-3868"/>
    <x v="1"/>
    <s v="Naypyitaw"/>
    <s v="Member"/>
    <s v="Male"/>
    <x v="4"/>
    <n v="94.26"/>
    <n v="4"/>
    <n v="18.852"/>
    <n v="395.892"/>
    <d v="2019-12-03T00:00:00"/>
    <d v="1899-12-30T16:30:00"/>
    <s v="Cash"/>
    <n v="377.04"/>
    <n v="4.7619047620000003"/>
    <n v="18.852"/>
    <n v="8.6"/>
  </r>
  <r>
    <s v="730-61-8757"/>
    <x v="2"/>
    <s v="Mandalay"/>
    <s v="Member"/>
    <s v="Male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</r>
  <r>
    <s v="340-66-0321"/>
    <x v="0"/>
    <s v="Yangon"/>
    <s v="Member"/>
    <s v="Male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</r>
  <r>
    <s v="868-81-1752"/>
    <x v="2"/>
    <s v="Mandalay"/>
    <s v="Normal"/>
    <s v="Male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</r>
  <r>
    <s v="634-97-8956"/>
    <x v="0"/>
    <s v="Yangon"/>
    <s v="Normal"/>
    <s v="Male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</r>
  <r>
    <s v="566-71-1091"/>
    <x v="0"/>
    <s v="Yangon"/>
    <s v="Normal"/>
    <s v="Male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</r>
  <r>
    <s v="442-48-3607"/>
    <x v="0"/>
    <s v="Yangon"/>
    <s v="Member"/>
    <s v="Male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</r>
  <r>
    <s v="835-16-0096"/>
    <x v="1"/>
    <s v="Naypyitaw"/>
    <s v="Member"/>
    <s v="Male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</r>
  <r>
    <s v="527-09-6272"/>
    <x v="0"/>
    <s v="Yangon"/>
    <s v="Member"/>
    <s v="Female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</r>
  <r>
    <s v="898-04-2717"/>
    <x v="0"/>
    <s v="Yangon"/>
    <s v="Normal"/>
    <s v="Male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</r>
  <r>
    <s v="692-27-8933"/>
    <x v="2"/>
    <s v="Mandalay"/>
    <s v="Normal"/>
    <s v="Female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</r>
  <r>
    <s v="633-09-3463"/>
    <x v="1"/>
    <s v="Naypyitaw"/>
    <s v="Normal"/>
    <s v="Female"/>
    <x v="1"/>
    <n v="47.65"/>
    <n v="3"/>
    <n v="7.1475"/>
    <n v="150.0975"/>
    <s v="3/28/2019"/>
    <d v="1899-12-30T12:58:00"/>
    <s v="Credit card"/>
    <n v="142.94999999999999"/>
    <n v="4.7619047620000003"/>
    <n v="7.1475"/>
    <n v="9.5"/>
  </r>
  <r>
    <s v="374-17-3652"/>
    <x v="2"/>
    <s v="Mandalay"/>
    <s v="Member"/>
    <s v="Female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</r>
  <r>
    <s v="378-07-7001"/>
    <x v="2"/>
    <s v="Mandalay"/>
    <s v="Member"/>
    <s v="Male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</r>
  <r>
    <s v="433-75-6987"/>
    <x v="2"/>
    <s v="Mandalay"/>
    <s v="Member"/>
    <s v="Female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</r>
  <r>
    <s v="873-95-4984"/>
    <x v="2"/>
    <s v="Mandalay"/>
    <s v="Member"/>
    <s v="Female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</r>
  <r>
    <s v="416-13-5917"/>
    <x v="1"/>
    <s v="Naypyitaw"/>
    <s v="Normal"/>
    <s v="Female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</r>
  <r>
    <s v="150-89-8043"/>
    <x v="0"/>
    <s v="Yangon"/>
    <s v="Normal"/>
    <s v="Male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</r>
  <r>
    <s v="135-84-8019"/>
    <x v="0"/>
    <s v="Yangon"/>
    <s v="Normal"/>
    <s v="Female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</r>
  <r>
    <s v="441-94-7118"/>
    <x v="0"/>
    <s v="Yangon"/>
    <s v="Member"/>
    <s v="Male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</r>
  <r>
    <s v="725-96-3778"/>
    <x v="1"/>
    <s v="Naypyitaw"/>
    <s v="Member"/>
    <s v="Female"/>
    <x v="2"/>
    <n v="89.25"/>
    <n v="8"/>
    <n v="35.700000000000003"/>
    <n v="749.7"/>
    <s v="1/20/2019"/>
    <d v="1899-12-30T10:13:00"/>
    <s v="Cash"/>
    <n v="714"/>
    <n v="4.7619047620000003"/>
    <n v="35.700000000000003"/>
    <n v="4.7"/>
  </r>
  <r>
    <s v="531-80-1784"/>
    <x v="0"/>
    <s v="Yangon"/>
    <s v="Normal"/>
    <s v="Male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</r>
  <r>
    <s v="400-45-1220"/>
    <x v="2"/>
    <s v="Mandalay"/>
    <s v="Normal"/>
    <s v="Female"/>
    <x v="0"/>
    <n v="13.5"/>
    <n v="10"/>
    <n v="6.75"/>
    <n v="141.75"/>
    <s v="2/27/2019"/>
    <d v="1899-12-30T11:06:00"/>
    <s v="Credit card"/>
    <n v="135"/>
    <n v="4.7619047620000003"/>
    <n v="6.75"/>
    <n v="4.8"/>
  </r>
  <r>
    <s v="860-79-0874"/>
    <x v="1"/>
    <s v="Naypyitaw"/>
    <s v="Member"/>
    <s v="Female"/>
    <x v="5"/>
    <n v="99.3"/>
    <n v="10"/>
    <n v="49.65"/>
    <n v="1042.6500000000001"/>
    <s v="2/15/2019"/>
    <d v="1899-12-30T14:53:00"/>
    <s v="Credit card"/>
    <n v="993"/>
    <n v="4.7619047620000003"/>
    <n v="49.65"/>
    <n v="6.6"/>
  </r>
  <r>
    <s v="834-61-8124"/>
    <x v="0"/>
    <s v="Yangon"/>
    <s v="Normal"/>
    <s v="Male"/>
    <x v="1"/>
    <n v="51.69"/>
    <n v="7"/>
    <n v="18.0915"/>
    <n v="379.92149999999998"/>
    <s v="1/26/2019"/>
    <d v="1899-12-30T18:22:00"/>
    <s v="Cash"/>
    <n v="361.83"/>
    <n v="4.7619047620000003"/>
    <n v="18.0915"/>
    <n v="5.5"/>
  </r>
  <r>
    <s v="115-99-4379"/>
    <x v="2"/>
    <s v="Mandalay"/>
    <s v="Member"/>
    <s v="Female"/>
    <x v="5"/>
    <n v="54.73"/>
    <n v="7"/>
    <n v="19.1555"/>
    <n v="402.26549999999997"/>
    <s v="3/14/2019"/>
    <d v="1899-12-30T19:02:00"/>
    <s v="Credit card"/>
    <n v="383.11"/>
    <n v="4.7619047620000003"/>
    <n v="19.1555"/>
    <n v="8.5"/>
  </r>
  <r>
    <s v="565-67-6697"/>
    <x v="2"/>
    <s v="Mandalay"/>
    <s v="Member"/>
    <s v="Male"/>
    <x v="2"/>
    <n v="27"/>
    <n v="9"/>
    <n v="12.15"/>
    <n v="255.15"/>
    <d v="2019-02-03T00:00:00"/>
    <d v="1899-12-30T14:16:00"/>
    <s v="Cash"/>
    <n v="243"/>
    <n v="4.7619047620000003"/>
    <n v="12.15"/>
    <n v="4.8"/>
  </r>
  <r>
    <s v="320-49-6392"/>
    <x v="1"/>
    <s v="Naypyitaw"/>
    <s v="Normal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n v="8.4"/>
  </r>
  <r>
    <s v="889-04-9723"/>
    <x v="2"/>
    <s v="Mandalay"/>
    <s v="Member"/>
    <s v="Female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</r>
  <r>
    <s v="632-90-0281"/>
    <x v="1"/>
    <s v="Naypyitaw"/>
    <s v="Normal"/>
    <s v="Female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</r>
  <r>
    <s v="554-42-2417"/>
    <x v="1"/>
    <s v="Naypyitaw"/>
    <s v="Normal"/>
    <s v="Female"/>
    <x v="3"/>
    <n v="95.44"/>
    <n v="10"/>
    <n v="47.72"/>
    <n v="1002.12"/>
    <d v="2019-09-01T00:00:00"/>
    <d v="1899-12-30T13:45:00"/>
    <s v="Cash"/>
    <n v="954.4"/>
    <n v="4.7619047620000003"/>
    <n v="47.72"/>
    <n v="5.2"/>
  </r>
  <r>
    <s v="453-63-6187"/>
    <x v="2"/>
    <s v="Mandalay"/>
    <s v="Normal"/>
    <s v="Male"/>
    <x v="1"/>
    <n v="27.5"/>
    <n v="3"/>
    <n v="4.125"/>
    <n v="86.625"/>
    <d v="2019-01-03T00:00:00"/>
    <d v="1899-12-30T15:40:00"/>
    <s v="Ewallet"/>
    <n v="82.5"/>
    <n v="4.7619047620000003"/>
    <n v="4.125"/>
    <n v="6.5"/>
  </r>
  <r>
    <s v="578-80-7669"/>
    <x v="2"/>
    <s v="Mandalay"/>
    <s v="Normal"/>
    <s v="Male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</r>
  <r>
    <s v="612-36-5536"/>
    <x v="0"/>
    <s v="Yangon"/>
    <s v="Member"/>
    <s v="Male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</r>
  <r>
    <s v="605-72-4132"/>
    <x v="1"/>
    <s v="Naypyitaw"/>
    <s v="Normal"/>
    <s v="Female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</r>
  <r>
    <s v="471-41-2823"/>
    <x v="1"/>
    <s v="Naypyitaw"/>
    <s v="Normal"/>
    <s v="Male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</r>
  <r>
    <s v="462-67-9126"/>
    <x v="0"/>
    <s v="Yangon"/>
    <s v="Normal"/>
    <s v="Male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</r>
  <r>
    <s v="272-27-9238"/>
    <x v="1"/>
    <s v="Naypyitaw"/>
    <s v="Normal"/>
    <s v="Female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</r>
  <r>
    <s v="834-25-9262"/>
    <x v="1"/>
    <s v="Naypyitaw"/>
    <s v="Normal"/>
    <s v="Female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</r>
  <r>
    <s v="122-61-9553"/>
    <x v="1"/>
    <s v="Naypyitaw"/>
    <s v="Normal"/>
    <s v="Female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</r>
  <r>
    <s v="468-88-0009"/>
    <x v="0"/>
    <s v="Yangon"/>
    <s v="Member"/>
    <s v="Male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</r>
  <r>
    <s v="613-59-9758"/>
    <x v="1"/>
    <s v="Naypyitaw"/>
    <s v="Normal"/>
    <s v="Female"/>
    <x v="3"/>
    <n v="14.36"/>
    <n v="10"/>
    <n v="7.18"/>
    <n v="150.78"/>
    <s v="1/27/2019"/>
    <d v="1899-12-30T14:28:00"/>
    <s v="Cash"/>
    <n v="143.6"/>
    <n v="4.7619047620000003"/>
    <n v="7.18"/>
    <n v="5.4"/>
  </r>
  <r>
    <s v="254-31-0042"/>
    <x v="0"/>
    <s v="Yangon"/>
    <s v="Member"/>
    <s v="Male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</r>
  <r>
    <s v="201-86-2184"/>
    <x v="2"/>
    <s v="Mandalay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</r>
  <r>
    <s v="261-12-8671"/>
    <x v="2"/>
    <s v="Mandalay"/>
    <s v="Normal"/>
    <s v="Female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</r>
  <r>
    <s v="730-70-9830"/>
    <x v="1"/>
    <s v="Naypyitaw"/>
    <s v="Normal"/>
    <s v="Female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</r>
  <r>
    <s v="382-25-8917"/>
    <x v="1"/>
    <s v="Naypyitaw"/>
    <s v="Normal"/>
    <s v="Male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</r>
  <r>
    <s v="422-29-8786"/>
    <x v="0"/>
    <s v="Yangon"/>
    <s v="Normal"/>
    <s v="Female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</r>
  <r>
    <s v="667-23-5919"/>
    <x v="0"/>
    <s v="Yangon"/>
    <s v="Member"/>
    <s v="Female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</r>
  <r>
    <s v="843-01-4703"/>
    <x v="2"/>
    <s v="Mandalay"/>
    <s v="Member"/>
    <s v="Female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</r>
  <r>
    <s v="743-88-1662"/>
    <x v="1"/>
    <s v="Naypyitaw"/>
    <s v="Normal"/>
    <s v="Male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</r>
  <r>
    <s v="595-86-2894"/>
    <x v="1"/>
    <s v="Naypyitaw"/>
    <s v="Member"/>
    <s v="Male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</r>
  <r>
    <s v="182-69-8360"/>
    <x v="2"/>
    <s v="Mandalay"/>
    <s v="Normal"/>
    <s v="Female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</r>
  <r>
    <s v="289-15-7034"/>
    <x v="0"/>
    <s v="Yangon"/>
    <s v="Member"/>
    <s v="Male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</r>
  <r>
    <s v="462-78-5240"/>
    <x v="1"/>
    <s v="Naypyitaw"/>
    <s v="Normal"/>
    <s v="Female"/>
    <x v="1"/>
    <n v="26.61"/>
    <n v="2"/>
    <n v="2.661"/>
    <n v="55.881"/>
    <s v="3/19/2019"/>
    <d v="1899-12-30T14:35:00"/>
    <s v="Cash"/>
    <n v="53.22"/>
    <n v="4.7619047620000003"/>
    <n v="2.661"/>
    <n v="4.2"/>
  </r>
  <r>
    <s v="868-52-7573"/>
    <x v="2"/>
    <s v="Mandalay"/>
    <s v="Normal"/>
    <s v="Female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</r>
  <r>
    <s v="153-58-4872"/>
    <x v="1"/>
    <s v="Naypyitaw"/>
    <s v="Member"/>
    <s v="Female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</r>
  <r>
    <s v="662-72-2873"/>
    <x v="0"/>
    <s v="Yangon"/>
    <s v="Normal"/>
    <s v="Female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</r>
  <r>
    <s v="525-88-7307"/>
    <x v="2"/>
    <s v="Mandalay"/>
    <s v="Member"/>
    <s v="Male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</r>
  <r>
    <s v="689-16-9784"/>
    <x v="1"/>
    <s v="Naypyitaw"/>
    <s v="Normal"/>
    <s v="Male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</r>
  <r>
    <s v="725-56-0833"/>
    <x v="0"/>
    <s v="Yangon"/>
    <s v="Normal"/>
    <s v="Female"/>
    <x v="0"/>
    <n v="32.32"/>
    <n v="10"/>
    <n v="16.16"/>
    <n v="339.36"/>
    <s v="2/20/2019"/>
    <d v="1899-12-30T16:49:00"/>
    <s v="Credit card"/>
    <n v="323.2"/>
    <n v="4.7619047620000003"/>
    <n v="16.16"/>
    <n v="10"/>
  </r>
  <r>
    <s v="394-41-0748"/>
    <x v="1"/>
    <s v="Naypyitaw"/>
    <s v="Member"/>
    <s v="Female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</r>
  <r>
    <s v="596-42-3999"/>
    <x v="2"/>
    <s v="Mandalay"/>
    <s v="Normal"/>
    <s v="Male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</r>
  <r>
    <s v="541-89-9860"/>
    <x v="1"/>
    <s v="Naypyitaw"/>
    <s v="Member"/>
    <s v="Female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</r>
  <r>
    <s v="173-82-9529"/>
    <x v="2"/>
    <s v="Mandalay"/>
    <s v="Normal"/>
    <s v="Female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</r>
  <r>
    <s v="563-36-9814"/>
    <x v="0"/>
    <s v="Yangon"/>
    <s v="Member"/>
    <s v="Male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</r>
  <r>
    <s v="308-47-4913"/>
    <x v="0"/>
    <s v="Yangon"/>
    <s v="Member"/>
    <s v="Female"/>
    <x v="3"/>
    <n v="52.26"/>
    <n v="10"/>
    <n v="26.13"/>
    <n v="548.73"/>
    <d v="2019-09-03T00:00:00"/>
    <d v="1899-12-30T12:45:00"/>
    <s v="Credit card"/>
    <n v="522.6"/>
    <n v="4.7619047620000003"/>
    <n v="26.13"/>
    <n v="6.2"/>
  </r>
  <r>
    <s v="885-17-6250"/>
    <x v="0"/>
    <s v="Yangon"/>
    <s v="Normal"/>
    <s v="Female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</r>
  <r>
    <s v="726-27-2396"/>
    <x v="0"/>
    <s v="Yangon"/>
    <s v="Normal"/>
    <s v="Female"/>
    <x v="0"/>
    <n v="77.5"/>
    <n v="5"/>
    <n v="19.375"/>
    <n v="406.875"/>
    <s v="1/24/2019"/>
    <d v="1899-12-30T20:36:00"/>
    <s v="Ewallet"/>
    <n v="387.5"/>
    <n v="4.7619047620000003"/>
    <n v="19.375"/>
    <n v="4.3"/>
  </r>
  <r>
    <s v="316-01-3952"/>
    <x v="0"/>
    <s v="Yangon"/>
    <s v="Normal"/>
    <s v="Female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</r>
  <r>
    <s v="760-54-1821"/>
    <x v="2"/>
    <s v="Mandalay"/>
    <s v="Normal"/>
    <s v="Male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</r>
  <r>
    <s v="793-10-3222"/>
    <x v="2"/>
    <s v="Mandalay"/>
    <s v="Member"/>
    <s v="Female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</r>
  <r>
    <s v="346-12-3257"/>
    <x v="2"/>
    <s v="Mandalay"/>
    <s v="Member"/>
    <s v="Male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</r>
  <r>
    <s v="110-05-6330"/>
    <x v="1"/>
    <s v="Naypyitaw"/>
    <s v="Normal"/>
    <s v="Female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</r>
  <r>
    <s v="651-61-0874"/>
    <x v="1"/>
    <s v="Naypyitaw"/>
    <s v="Normal"/>
    <s v="Male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</r>
  <r>
    <s v="236-86-3015"/>
    <x v="1"/>
    <s v="Naypyitaw"/>
    <s v="Member"/>
    <s v="Male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</r>
  <r>
    <s v="831-64-0259"/>
    <x v="2"/>
    <s v="Mandalay"/>
    <s v="Normal"/>
    <s v="Female"/>
    <x v="5"/>
    <n v="39.75"/>
    <n v="5"/>
    <n v="9.9375"/>
    <n v="208.6875"/>
    <s v="2/22/2019"/>
    <d v="1899-12-30T10:43:00"/>
    <s v="Ewallet"/>
    <n v="198.75"/>
    <n v="4.7619047620000003"/>
    <n v="9.9375"/>
    <n v="9.6"/>
  </r>
  <r>
    <s v="587-03-7455"/>
    <x v="1"/>
    <s v="Naypyitaw"/>
    <s v="Member"/>
    <s v="Female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</r>
  <r>
    <s v="882-40-4577"/>
    <x v="0"/>
    <s v="Yangon"/>
    <s v="Member"/>
    <s v="Male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</r>
  <r>
    <s v="732-67-5346"/>
    <x v="0"/>
    <s v="Yangon"/>
    <s v="Normal"/>
    <s v="Male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</r>
  <r>
    <s v="725-32-9708"/>
    <x v="2"/>
    <s v="Mandalay"/>
    <s v="Member"/>
    <s v="Female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</r>
  <r>
    <s v="256-08-8343"/>
    <x v="0"/>
    <s v="Yangon"/>
    <s v="Normal"/>
    <s v="Female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</r>
  <r>
    <s v="372-26-1506"/>
    <x v="1"/>
    <s v="Naypyitaw"/>
    <s v="Normal"/>
    <s v="Female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</r>
  <r>
    <s v="244-08-0162"/>
    <x v="2"/>
    <s v="Mandalay"/>
    <s v="Normal"/>
    <s v="Female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</r>
  <r>
    <s v="569-71-4390"/>
    <x v="2"/>
    <s v="Mandalay"/>
    <s v="Normal"/>
    <s v="Male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</r>
  <r>
    <s v="132-23-6451"/>
    <x v="0"/>
    <s v="Yangon"/>
    <s v="Member"/>
    <s v="Male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</r>
  <r>
    <s v="696-90-2548"/>
    <x v="0"/>
    <s v="Yangon"/>
    <s v="Normal"/>
    <s v="Male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</r>
  <r>
    <s v="472-15-9636"/>
    <x v="0"/>
    <s v="Yangon"/>
    <s v="Normal"/>
    <s v="Male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</r>
  <r>
    <s v="268-03-6164"/>
    <x v="2"/>
    <s v="Mandalay"/>
    <s v="Normal"/>
    <s v="Male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</r>
  <r>
    <s v="750-57-9686"/>
    <x v="1"/>
    <s v="Naypyitaw"/>
    <s v="Normal"/>
    <s v="Female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</r>
  <r>
    <s v="186-09-3669"/>
    <x v="1"/>
    <s v="Naypyitaw"/>
    <s v="Member"/>
    <s v="Female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</r>
  <r>
    <s v="848-07-1692"/>
    <x v="2"/>
    <s v="Mandalay"/>
    <s v="Normal"/>
    <s v="Female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</r>
  <r>
    <s v="745-71-3520"/>
    <x v="0"/>
    <s v="Yangon"/>
    <s v="Member"/>
    <s v="Female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</r>
  <r>
    <s v="266-76-6436"/>
    <x v="1"/>
    <s v="Naypyitaw"/>
    <s v="Member"/>
    <s v="Female"/>
    <x v="4"/>
    <n v="38.6"/>
    <n v="3"/>
    <n v="5.79"/>
    <n v="121.59"/>
    <s v="3/28/2019"/>
    <d v="1899-12-30T13:57:00"/>
    <s v="Ewallet"/>
    <n v="115.8"/>
    <n v="4.7619047620000003"/>
    <n v="5.79"/>
    <n v="7.5"/>
  </r>
  <r>
    <s v="740-22-2500"/>
    <x v="1"/>
    <s v="Naypyitaw"/>
    <s v="Normal"/>
    <s v="Female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</r>
  <r>
    <s v="271-88-8734"/>
    <x v="1"/>
    <s v="Naypyitaw"/>
    <s v="Member"/>
    <s v="Female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</r>
  <r>
    <s v="301-81-8610"/>
    <x v="2"/>
    <s v="Mandalay"/>
    <s v="Member"/>
    <s v="Male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</r>
  <r>
    <s v="489-64-4354"/>
    <x v="1"/>
    <s v="Naypyitaw"/>
    <s v="Normal"/>
    <s v="Male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</r>
  <r>
    <s v="198-84-7132"/>
    <x v="2"/>
    <s v="Mandalay"/>
    <s v="Member"/>
    <s v="Male"/>
    <x v="5"/>
    <n v="40.61"/>
    <n v="9"/>
    <n v="18.2745"/>
    <n v="383.7645"/>
    <d v="2019-02-01T00:00:00"/>
    <d v="1899-12-30T13:40:00"/>
    <s v="Cash"/>
    <n v="365.49"/>
    <n v="4.7619047620000003"/>
    <n v="18.2745"/>
    <n v="7"/>
  </r>
  <r>
    <s v="269-10-8440"/>
    <x v="0"/>
    <s v="Yangon"/>
    <s v="Member"/>
    <s v="Male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</r>
  <r>
    <s v="650-98-6268"/>
    <x v="2"/>
    <s v="Mandalay"/>
    <s v="Member"/>
    <s v="Female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</r>
  <r>
    <s v="741-73-3559"/>
    <x v="2"/>
    <s v="Mandalay"/>
    <s v="Normal"/>
    <s v="Male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</r>
  <r>
    <s v="325-77-6186"/>
    <x v="0"/>
    <s v="Yangon"/>
    <s v="Member"/>
    <s v="Female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</r>
  <r>
    <s v="286-75-7818"/>
    <x v="2"/>
    <s v="Mandalay"/>
    <s v="Normal"/>
    <s v="Male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</r>
  <r>
    <s v="574-57-9721"/>
    <x v="1"/>
    <s v="Naypyitaw"/>
    <s v="Normal"/>
    <s v="Male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</r>
  <r>
    <s v="459-50-7686"/>
    <x v="0"/>
    <s v="Yangon"/>
    <s v="Normal"/>
    <s v="Female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</r>
  <r>
    <s v="616-87-0016"/>
    <x v="2"/>
    <s v="Mandalay"/>
    <s v="Normal"/>
    <s v="Male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</r>
  <r>
    <s v="837-55-7229"/>
    <x v="2"/>
    <s v="Mandalay"/>
    <s v="Normal"/>
    <s v="Female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</r>
  <r>
    <s v="751-69-0068"/>
    <x v="1"/>
    <s v="Naypyitaw"/>
    <s v="Normal"/>
    <s v="Male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</r>
  <r>
    <s v="257-73-1380"/>
    <x v="1"/>
    <s v="Naypyitaw"/>
    <s v="Member"/>
    <s v="Male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</r>
  <r>
    <s v="345-08-4992"/>
    <x v="0"/>
    <s v="Yangon"/>
    <s v="Normal"/>
    <s v="Male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</r>
  <r>
    <s v="549-96-4200"/>
    <x v="1"/>
    <s v="Naypyitaw"/>
    <s v="Member"/>
    <s v="Male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</r>
  <r>
    <s v="810-60-6344"/>
    <x v="1"/>
    <s v="Naypyitaw"/>
    <s v="Normal"/>
    <s v="Female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</r>
  <r>
    <s v="450-28-2866"/>
    <x v="1"/>
    <s v="Naypyitaw"/>
    <s v="Member"/>
    <s v="Male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</r>
  <r>
    <s v="394-30-3170"/>
    <x v="2"/>
    <s v="Mandalay"/>
    <s v="Member"/>
    <s v="Female"/>
    <x v="3"/>
    <n v="88.43"/>
    <n v="8"/>
    <n v="35.372"/>
    <n v="742.81200000000001"/>
    <s v="3/22/2019"/>
    <d v="1899-12-30T19:35:00"/>
    <s v="Credit card"/>
    <n v="707.44"/>
    <n v="4.7619047620000003"/>
    <n v="35.372"/>
    <n v="4.3"/>
  </r>
  <r>
    <s v="138-17-5109"/>
    <x v="0"/>
    <s v="Yangon"/>
    <s v="Member"/>
    <s v="Female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</r>
  <r>
    <s v="192-98-7397"/>
    <x v="1"/>
    <s v="Naypyitaw"/>
    <s v="Normal"/>
    <s v="Male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</r>
  <r>
    <s v="301-11-9629"/>
    <x v="0"/>
    <s v="Yangon"/>
    <s v="Normal"/>
    <s v="Female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</r>
  <r>
    <s v="390-80-5128"/>
    <x v="2"/>
    <s v="Mandalay"/>
    <s v="Member"/>
    <s v="Female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</r>
  <r>
    <s v="235-46-8343"/>
    <x v="1"/>
    <s v="Naypyitaw"/>
    <s v="Member"/>
    <s v="Male"/>
    <x v="4"/>
    <n v="27.66"/>
    <n v="10"/>
    <n v="13.83"/>
    <n v="290.43"/>
    <s v="2/14/2019"/>
    <d v="1899-12-30T11:26:00"/>
    <s v="Credit card"/>
    <n v="276.60000000000002"/>
    <n v="4.7619047620000003"/>
    <n v="13.83"/>
    <n v="8.9"/>
  </r>
  <r>
    <s v="453-12-7053"/>
    <x v="1"/>
    <s v="Naypyitaw"/>
    <s v="Normal"/>
    <s v="Male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</r>
  <r>
    <s v="296-11-7041"/>
    <x v="2"/>
    <s v="Mandalay"/>
    <s v="Member"/>
    <s v="Female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</r>
  <r>
    <s v="449-27-2918"/>
    <x v="2"/>
    <s v="Mandalay"/>
    <s v="Member"/>
    <s v="Female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</r>
  <r>
    <s v="891-01-7034"/>
    <x v="2"/>
    <s v="Mandalay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</r>
  <r>
    <s v="744-09-5786"/>
    <x v="2"/>
    <s v="Mandalay"/>
    <s v="Normal"/>
    <s v="Male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</r>
  <r>
    <s v="727-17-0390"/>
    <x v="0"/>
    <s v="Yangon"/>
    <s v="Normal"/>
    <s v="Female"/>
    <x v="4"/>
    <n v="63.61"/>
    <n v="5"/>
    <n v="15.9025"/>
    <n v="333.95249999999999"/>
    <s v="3/16/2019"/>
    <d v="1899-12-30T12:43:00"/>
    <s v="Ewallet"/>
    <n v="318.05"/>
    <n v="4.7619047620000003"/>
    <n v="15.9025"/>
    <n v="4.8"/>
  </r>
  <r>
    <s v="568-88-3448"/>
    <x v="0"/>
    <s v="Yangon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</r>
  <r>
    <s v="187-83-5490"/>
    <x v="0"/>
    <s v="Yangon"/>
    <s v="Member"/>
    <s v="Male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</r>
  <r>
    <s v="767-54-1907"/>
    <x v="2"/>
    <s v="Mandalay"/>
    <s v="Member"/>
    <s v="Female"/>
    <x v="5"/>
    <n v="29.56"/>
    <n v="5"/>
    <n v="7.39"/>
    <n v="155.19"/>
    <s v="2/13/2019"/>
    <d v="1899-12-30T16:59:00"/>
    <s v="Cash"/>
    <n v="147.80000000000001"/>
    <n v="4.7619047620000003"/>
    <n v="7.39"/>
    <n v="6.9"/>
  </r>
  <r>
    <s v="710-46-4433"/>
    <x v="2"/>
    <s v="Mandalay"/>
    <s v="Member"/>
    <s v="Female"/>
    <x v="4"/>
    <n v="77.400000000000006"/>
    <n v="9"/>
    <n v="34.83"/>
    <n v="731.43"/>
    <s v="2/15/2019"/>
    <d v="1899-12-30T14:15:00"/>
    <s v="Credit card"/>
    <n v="696.6"/>
    <n v="4.7619047620000003"/>
    <n v="34.83"/>
    <n v="4.5"/>
  </r>
  <r>
    <s v="533-33-5337"/>
    <x v="2"/>
    <s v="Mandalay"/>
    <s v="Normal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</r>
  <r>
    <s v="325-90-8763"/>
    <x v="1"/>
    <s v="Naypyitaw"/>
    <s v="Member"/>
    <s v="Female"/>
    <x v="1"/>
    <n v="46.57"/>
    <n v="10"/>
    <n v="23.285"/>
    <n v="488.98500000000001"/>
    <s v="1/27/2019"/>
    <d v="1899-12-30T13:58:00"/>
    <s v="Cash"/>
    <n v="465.7"/>
    <n v="4.7619047620000003"/>
    <n v="23.285"/>
    <n v="7.6"/>
  </r>
  <r>
    <s v="729-46-7422"/>
    <x v="1"/>
    <s v="Naypyitaw"/>
    <s v="Normal"/>
    <s v="Male"/>
    <x v="4"/>
    <n v="35.89"/>
    <n v="1"/>
    <n v="1.7945"/>
    <n v="37.6845"/>
    <s v="2/23/2019"/>
    <d v="1899-12-30T16:52:00"/>
    <s v="Credit card"/>
    <n v="35.89"/>
    <n v="4.7619047620000003"/>
    <n v="1.7945"/>
    <n v="7.9"/>
  </r>
  <r>
    <s v="639-76-1242"/>
    <x v="1"/>
    <s v="Naypyitaw"/>
    <s v="Normal"/>
    <s v="Male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</r>
  <r>
    <s v="234-03-4040"/>
    <x v="2"/>
    <s v="Mandalay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</r>
  <r>
    <s v="326-71-2155"/>
    <x v="1"/>
    <s v="Naypyitaw"/>
    <s v="Normal"/>
    <s v="Female"/>
    <x v="3"/>
    <n v="73.95"/>
    <n v="4"/>
    <n v="14.79"/>
    <n v="310.58999999999997"/>
    <d v="2019-03-02T00:00:00"/>
    <d v="1899-12-30T10:02:00"/>
    <s v="Cash"/>
    <n v="295.8"/>
    <n v="4.7619047620000003"/>
    <n v="14.79"/>
    <n v="6.1"/>
  </r>
  <r>
    <s v="320-32-8842"/>
    <x v="1"/>
    <s v="Naypyitaw"/>
    <s v="Member"/>
    <s v="Female"/>
    <x v="4"/>
    <n v="22.62"/>
    <n v="1"/>
    <n v="1.131"/>
    <n v="23.751000000000001"/>
    <s v="3/17/2019"/>
    <d v="1899-12-30T18:58:00"/>
    <s v="Cash"/>
    <n v="22.62"/>
    <n v="4.7619047620000003"/>
    <n v="1.131"/>
    <n v="6.4"/>
  </r>
  <r>
    <s v="470-32-9057"/>
    <x v="0"/>
    <s v="Yangon"/>
    <s v="Member"/>
    <s v="Male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</r>
  <r>
    <s v="878-30-2331"/>
    <x v="1"/>
    <s v="Naypyitaw"/>
    <s v="Member"/>
    <s v="Female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</r>
  <r>
    <s v="440-59-5691"/>
    <x v="1"/>
    <s v="Naypyitaw"/>
    <s v="Member"/>
    <s v="Female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</r>
  <r>
    <s v="554-53-3790"/>
    <x v="2"/>
    <s v="Mandalay"/>
    <s v="Normal"/>
    <s v="Male"/>
    <x v="3"/>
    <n v="37.020000000000003"/>
    <n v="6"/>
    <n v="11.106"/>
    <n v="233.226"/>
    <s v="3/22/2019"/>
    <d v="1899-12-30T18:33:00"/>
    <s v="Cash"/>
    <n v="222.12"/>
    <n v="4.7619047620000003"/>
    <n v="11.106"/>
    <n v="4.5"/>
  </r>
  <r>
    <s v="746-19-0921"/>
    <x v="1"/>
    <s v="Naypyitaw"/>
    <s v="Normal"/>
    <s v="Male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</r>
  <r>
    <s v="233-34-0817"/>
    <x v="1"/>
    <s v="Naypyitaw"/>
    <s v="Member"/>
    <s v="Female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</r>
  <r>
    <s v="767-05-1286"/>
    <x v="1"/>
    <s v="Naypyitaw"/>
    <s v="Member"/>
    <s v="Female"/>
    <x v="2"/>
    <n v="83.77"/>
    <n v="6"/>
    <n v="25.131"/>
    <n v="527.75099999999998"/>
    <s v="1/23/2019"/>
    <d v="1899-12-30T12:10:00"/>
    <s v="Ewallet"/>
    <n v="502.62"/>
    <n v="4.7619047620000003"/>
    <n v="25.131"/>
    <n v="5.4"/>
  </r>
  <r>
    <s v="340-21-9136"/>
    <x v="0"/>
    <s v="Yangon"/>
    <s v="Member"/>
    <s v="Female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</r>
  <r>
    <s v="405-31-3305"/>
    <x v="0"/>
    <s v="Yangon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</r>
  <r>
    <s v="731-59-7531"/>
    <x v="2"/>
    <s v="Mandalay"/>
    <s v="Member"/>
    <s v="Male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</r>
  <r>
    <s v="676-39-6028"/>
    <x v="0"/>
    <s v="Yangon"/>
    <s v="Member"/>
    <s v="Female"/>
    <x v="1"/>
    <n v="64.44"/>
    <n v="5"/>
    <n v="16.11"/>
    <n v="338.31"/>
    <s v="3/30/2019"/>
    <d v="1899-12-30T17:04:00"/>
    <s v="Cash"/>
    <n v="322.2"/>
    <n v="4.7619047620000003"/>
    <n v="16.11"/>
    <n v="6.6"/>
  </r>
  <r>
    <s v="502-05-1910"/>
    <x v="0"/>
    <s v="Yangon"/>
    <s v="Normal"/>
    <s v="Male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</r>
  <r>
    <s v="485-30-8700"/>
    <x v="0"/>
    <s v="Yangon"/>
    <s v="Normal"/>
    <s v="Female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</r>
  <r>
    <s v="598-47-9715"/>
    <x v="1"/>
    <s v="Naypyitaw"/>
    <s v="Normal"/>
    <s v="Male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</r>
  <r>
    <s v="701-69-8742"/>
    <x v="2"/>
    <s v="Mandalay"/>
    <s v="Normal"/>
    <s v="Male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</r>
  <r>
    <s v="575-67-1508"/>
    <x v="0"/>
    <s v="Yangon"/>
    <s v="Normal"/>
    <s v="Male"/>
    <x v="1"/>
    <n v="38.6"/>
    <n v="1"/>
    <n v="1.93"/>
    <n v="40.53"/>
    <s v="1/29/2019"/>
    <d v="1899-12-30T11:26:00"/>
    <s v="Ewallet"/>
    <n v="38.6"/>
    <n v="4.7619047620000003"/>
    <n v="1.93"/>
    <n v="6.7"/>
  </r>
  <r>
    <s v="541-08-3113"/>
    <x v="1"/>
    <s v="Naypyitaw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</r>
  <r>
    <s v="246-11-3901"/>
    <x v="1"/>
    <s v="Naypyitaw"/>
    <s v="Normal"/>
    <s v="Female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</r>
  <r>
    <s v="674-15-9296"/>
    <x v="0"/>
    <s v="Yangon"/>
    <s v="Normal"/>
    <s v="Male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</r>
  <r>
    <s v="305-18-3552"/>
    <x v="2"/>
    <s v="Mandalay"/>
    <s v="Member"/>
    <s v="Male"/>
    <x v="2"/>
    <n v="60.38"/>
    <n v="10"/>
    <n v="30.19"/>
    <n v="633.99"/>
    <d v="2019-12-02T00:00:00"/>
    <d v="1899-12-30T16:19:00"/>
    <s v="Cash"/>
    <n v="603.79999999999995"/>
    <n v="4.7619047620000003"/>
    <n v="30.19"/>
    <n v="6"/>
  </r>
  <r>
    <s v="493-65-6248"/>
    <x v="1"/>
    <s v="Naypyitaw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</r>
  <r>
    <s v="438-01-4015"/>
    <x v="2"/>
    <s v="Mandalay"/>
    <s v="Member"/>
    <s v="Female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</r>
  <r>
    <s v="709-58-4068"/>
    <x v="2"/>
    <s v="Mandalay"/>
    <s v="Normal"/>
    <s v="Female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</r>
  <r>
    <s v="795-49-7276"/>
    <x v="0"/>
    <s v="Yangon"/>
    <s v="Normal"/>
    <s v="Male"/>
    <x v="5"/>
    <n v="37.15"/>
    <n v="4"/>
    <n v="7.43"/>
    <n v="156.03"/>
    <s v="3/23/2019"/>
    <d v="1899-12-30T18:59:00"/>
    <s v="Ewallet"/>
    <n v="148.6"/>
    <n v="4.7619047620000003"/>
    <n v="7.43"/>
    <n v="8.3000000000000007"/>
  </r>
  <r>
    <s v="556-72-8512"/>
    <x v="1"/>
    <s v="Naypyitaw"/>
    <s v="Normal"/>
    <s v="Male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</r>
  <r>
    <s v="627-95-3243"/>
    <x v="2"/>
    <s v="Mandalay"/>
    <s v="Member"/>
    <s v="Female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</r>
  <r>
    <s v="686-41-0932"/>
    <x v="2"/>
    <s v="Mandalay"/>
    <s v="Normal"/>
    <s v="Female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</r>
  <r>
    <s v="510-09-5628"/>
    <x v="0"/>
    <s v="Yangon"/>
    <s v="Member"/>
    <s v="Female"/>
    <x v="5"/>
    <n v="19.66"/>
    <n v="10"/>
    <n v="9.83"/>
    <n v="206.43"/>
    <s v="3/15/2019"/>
    <d v="1899-12-30T18:20:00"/>
    <s v="Credit card"/>
    <n v="196.6"/>
    <n v="4.7619047620000003"/>
    <n v="9.83"/>
    <n v="7.2"/>
  </r>
  <r>
    <s v="608-04-3797"/>
    <x v="2"/>
    <s v="Mandalay"/>
    <s v="Member"/>
    <s v="Female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</r>
  <r>
    <s v="148-82-2527"/>
    <x v="1"/>
    <s v="Naypyitaw"/>
    <s v="Member"/>
    <s v="Female"/>
    <x v="2"/>
    <n v="12.12"/>
    <n v="10"/>
    <n v="6.06"/>
    <n v="127.26"/>
    <d v="2019-05-03T00:00:00"/>
    <d v="1899-12-30T13:44:00"/>
    <s v="Credit card"/>
    <n v="121.2"/>
    <n v="4.7619047620000003"/>
    <n v="6.06"/>
    <n v="8.4"/>
  </r>
  <r>
    <s v="437-53-3084"/>
    <x v="2"/>
    <s v="Mandalay"/>
    <s v="Normal"/>
    <s v="Male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</r>
  <r>
    <s v="632-32-4574"/>
    <x v="2"/>
    <s v="Mandalay"/>
    <s v="Normal"/>
    <s v="Male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</r>
  <r>
    <s v="556-97-7101"/>
    <x v="1"/>
    <s v="Naypyitaw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</r>
  <r>
    <s v="862-59-8517"/>
    <x v="1"/>
    <s v="Naypyitaw"/>
    <s v="Normal"/>
    <s v="Female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</r>
  <r>
    <s v="401-18-8016"/>
    <x v="2"/>
    <s v="Mandalay"/>
    <s v="Member"/>
    <s v="Female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</r>
  <r>
    <s v="420-18-8989"/>
    <x v="0"/>
    <s v="Yangon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</r>
  <r>
    <s v="277-63-2961"/>
    <x v="2"/>
    <s v="Mandalay"/>
    <s v="Member"/>
    <s v="Male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</r>
  <r>
    <s v="573-98-8548"/>
    <x v="1"/>
    <s v="Naypyitaw"/>
    <s v="Member"/>
    <s v="Female"/>
    <x v="5"/>
    <n v="31.9"/>
    <n v="1"/>
    <n v="1.595"/>
    <n v="33.494999999999997"/>
    <d v="2019-05-01T00:00:00"/>
    <d v="1899-12-30T12:40:00"/>
    <s v="Ewallet"/>
    <n v="31.9"/>
    <n v="4.7619047620000003"/>
    <n v="1.595"/>
    <n v="9.1"/>
  </r>
  <r>
    <s v="620-02-2046"/>
    <x v="1"/>
    <s v="Naypyitaw"/>
    <s v="Normal"/>
    <s v="Male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</r>
  <r>
    <s v="282-35-2475"/>
    <x v="2"/>
    <s v="Mandalay"/>
    <s v="Normal"/>
    <s v="Female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</r>
  <r>
    <s v="511-54-3087"/>
    <x v="2"/>
    <s v="Mandalay"/>
    <s v="Normal"/>
    <s v="Male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</r>
  <r>
    <s v="726-29-6793"/>
    <x v="0"/>
    <s v="Yangon"/>
    <s v="Member"/>
    <s v="Male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</r>
  <r>
    <s v="387-49-4215"/>
    <x v="2"/>
    <s v="Mandalay"/>
    <s v="Member"/>
    <s v="Female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</r>
  <r>
    <s v="862-17-9201"/>
    <x v="2"/>
    <s v="Mandalay"/>
    <s v="Normal"/>
    <s v="Female"/>
    <x v="4"/>
    <n v="84.05"/>
    <n v="6"/>
    <n v="25.215"/>
    <n v="529.51499999999999"/>
    <s v="1/29/2019"/>
    <d v="1899-12-30T10:48:00"/>
    <s v="Credit card"/>
    <n v="504.3"/>
    <n v="4.7619047620000003"/>
    <n v="25.215"/>
    <n v="7.7"/>
  </r>
  <r>
    <s v="291-21-5991"/>
    <x v="2"/>
    <s v="Mandalay"/>
    <s v="Member"/>
    <s v="Male"/>
    <x v="0"/>
    <n v="61.29"/>
    <n v="5"/>
    <n v="15.3225"/>
    <n v="321.77249999999998"/>
    <s v="3/29/2019"/>
    <d v="1899-12-30T14:28:00"/>
    <s v="Cash"/>
    <n v="306.45"/>
    <n v="4.7619047620000003"/>
    <n v="15.3225"/>
    <n v="7"/>
  </r>
  <r>
    <s v="602-80-9671"/>
    <x v="1"/>
    <s v="Naypyitaw"/>
    <s v="Member"/>
    <s v="Female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</r>
  <r>
    <s v="347-72-6115"/>
    <x v="2"/>
    <s v="Mandalay"/>
    <s v="Member"/>
    <s v="Female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</r>
  <r>
    <s v="209-61-0206"/>
    <x v="0"/>
    <s v="Yangon"/>
    <s v="Normal"/>
    <s v="Female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</r>
  <r>
    <s v="595-27-4851"/>
    <x v="0"/>
    <s v="Yangon"/>
    <s v="Normal"/>
    <s v="Female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</r>
  <r>
    <s v="189-52-0236"/>
    <x v="0"/>
    <s v="Yangon"/>
    <s v="Normal"/>
    <s v="Male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</r>
  <r>
    <s v="503-07-0930"/>
    <x v="1"/>
    <s v="Naypyitaw"/>
    <s v="Member"/>
    <s v="Male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</r>
  <r>
    <s v="413-20-6708"/>
    <x v="1"/>
    <s v="Naypyitaw"/>
    <s v="Member"/>
    <s v="Female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</r>
  <r>
    <s v="425-85-2085"/>
    <x v="2"/>
    <s v="Mandalay"/>
    <s v="Member"/>
    <s v="Male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</r>
  <r>
    <s v="521-18-7827"/>
    <x v="1"/>
    <s v="Naypyitaw"/>
    <s v="Member"/>
    <s v="Male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</r>
  <r>
    <s v="220-28-1851"/>
    <x v="0"/>
    <s v="Yangon"/>
    <s v="Normal"/>
    <s v="Male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</r>
  <r>
    <s v="600-38-9738"/>
    <x v="1"/>
    <s v="Naypyitaw"/>
    <s v="Member"/>
    <s v="Male"/>
    <x v="3"/>
    <n v="71.92"/>
    <n v="5"/>
    <n v="17.98"/>
    <n v="377.58"/>
    <s v="1/17/2019"/>
    <d v="1899-12-30T15:05:00"/>
    <s v="Credit card"/>
    <n v="359.6"/>
    <n v="4.7619047620000003"/>
    <n v="17.98"/>
    <n v="4.3"/>
  </r>
  <r>
    <s v="734-91-1155"/>
    <x v="2"/>
    <s v="Mandalay"/>
    <s v="Normal"/>
    <s v="Female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</r>
  <r>
    <s v="451-28-5717"/>
    <x v="1"/>
    <s v="Naypyitaw"/>
    <s v="Member"/>
    <s v="Female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</r>
  <r>
    <s v="609-81-8548"/>
    <x v="0"/>
    <s v="Yangon"/>
    <s v="Member"/>
    <s v="Female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</r>
  <r>
    <s v="133-14-7229"/>
    <x v="1"/>
    <s v="Naypyitaw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</r>
  <r>
    <s v="534-01-4457"/>
    <x v="0"/>
    <s v="Yangon"/>
    <s v="Normal"/>
    <s v="Male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</r>
  <r>
    <s v="719-89-8991"/>
    <x v="0"/>
    <s v="Yangon"/>
    <s v="Member"/>
    <s v="Female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</r>
  <r>
    <s v="286-62-6248"/>
    <x v="2"/>
    <s v="Mandalay"/>
    <s v="Normal"/>
    <s v="Male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</r>
  <r>
    <s v="339-38-9982"/>
    <x v="2"/>
    <s v="Mandalay"/>
    <s v="Member"/>
    <s v="Male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</r>
  <r>
    <s v="827-44-5872"/>
    <x v="2"/>
    <s v="Mandalay"/>
    <s v="Member"/>
    <s v="Female"/>
    <x v="4"/>
    <n v="54.36"/>
    <n v="10"/>
    <n v="27.18"/>
    <n v="570.78"/>
    <d v="2019-07-02T00:00:00"/>
    <d v="1899-12-30T11:28:00"/>
    <s v="Credit card"/>
    <n v="543.6"/>
    <n v="4.7619047620000003"/>
    <n v="27.18"/>
    <n v="6.1"/>
  </r>
  <r>
    <s v="827-77-7633"/>
    <x v="0"/>
    <s v="Yangon"/>
    <s v="Normal"/>
    <s v="Male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</r>
  <r>
    <s v="287-83-1405"/>
    <x v="0"/>
    <s v="Yangon"/>
    <s v="Normal"/>
    <s v="Male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</r>
  <r>
    <s v="435-13-4908"/>
    <x v="0"/>
    <s v="Yangon"/>
    <s v="Member"/>
    <s v="Male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</r>
  <r>
    <s v="857-67-9057"/>
    <x v="2"/>
    <s v="Mandalay"/>
    <s v="Normal"/>
    <s v="Male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</r>
  <r>
    <s v="236-27-1144"/>
    <x v="1"/>
    <s v="Naypyitaw"/>
    <s v="Normal"/>
    <s v="Female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</r>
  <r>
    <s v="892-05-6689"/>
    <x v="0"/>
    <s v="Yangon"/>
    <s v="Normal"/>
    <s v="Female"/>
    <x v="2"/>
    <n v="28.32"/>
    <n v="5"/>
    <n v="7.08"/>
    <n v="148.68"/>
    <d v="2019-11-03T00:00:00"/>
    <d v="1899-12-30T13:28:00"/>
    <s v="Ewallet"/>
    <n v="141.6"/>
    <n v="4.7619047620000003"/>
    <n v="7.08"/>
    <n v="6.2"/>
  </r>
  <r>
    <s v="583-41-4548"/>
    <x v="1"/>
    <s v="Naypyitaw"/>
    <s v="Normal"/>
    <s v="Male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</r>
  <r>
    <s v="339-12-4827"/>
    <x v="2"/>
    <s v="Mandalay"/>
    <s v="Member"/>
    <s v="Female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</r>
  <r>
    <s v="643-38-7867"/>
    <x v="0"/>
    <s v="Yangon"/>
    <s v="Normal"/>
    <s v="Male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</r>
  <r>
    <s v="308-81-0538"/>
    <x v="0"/>
    <s v="Yangon"/>
    <s v="Normal"/>
    <s v="Female"/>
    <x v="5"/>
    <n v="73.05"/>
    <n v="4"/>
    <n v="14.61"/>
    <n v="306.81"/>
    <s v="2/25/2019"/>
    <d v="1899-12-30T17:16:00"/>
    <s v="Credit card"/>
    <n v="292.2"/>
    <n v="4.7619047620000003"/>
    <n v="14.61"/>
    <n v="4.9000000000000004"/>
  </r>
  <r>
    <s v="358-88-9262"/>
    <x v="1"/>
    <s v="Naypyitaw"/>
    <s v="Member"/>
    <s v="Female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</r>
  <r>
    <s v="460-35-4390"/>
    <x v="0"/>
    <s v="Yangon"/>
    <s v="Normal"/>
    <s v="Male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</r>
  <r>
    <s v="343-87-0864"/>
    <x v="1"/>
    <s v="Naypyitaw"/>
    <s v="Member"/>
    <s v="Male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</r>
  <r>
    <s v="173-50-1108"/>
    <x v="2"/>
    <s v="Mandalay"/>
    <s v="Member"/>
    <s v="Female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</r>
  <r>
    <s v="243-47-2663"/>
    <x v="1"/>
    <s v="Naypyitaw"/>
    <s v="Member"/>
    <s v="Male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</r>
  <r>
    <s v="841-18-8232"/>
    <x v="2"/>
    <s v="Mandalay"/>
    <s v="Normal"/>
    <s v="Female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</r>
  <r>
    <s v="701-23-5550"/>
    <x v="2"/>
    <s v="Mandalay"/>
    <s v="Member"/>
    <s v="Male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</r>
  <r>
    <s v="647-50-1224"/>
    <x v="0"/>
    <s v="Yangon"/>
    <s v="Normal"/>
    <s v="Female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</r>
  <r>
    <s v="541-48-8554"/>
    <x v="0"/>
    <s v="Yangon"/>
    <s v="Normal"/>
    <s v="Male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</r>
  <r>
    <s v="539-21-7227"/>
    <x v="2"/>
    <s v="Mandalay"/>
    <s v="Normal"/>
    <s v="Female"/>
    <x v="3"/>
    <n v="51.54"/>
    <n v="5"/>
    <n v="12.885"/>
    <n v="270.58499999999998"/>
    <s v="1/26/2019"/>
    <d v="1899-12-30T17:45:00"/>
    <s v="Cash"/>
    <n v="257.7"/>
    <n v="4.7619047620000003"/>
    <n v="12.885"/>
    <n v="4.2"/>
  </r>
  <r>
    <s v="213-32-1216"/>
    <x v="0"/>
    <s v="Yangon"/>
    <s v="Normal"/>
    <s v="Female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</r>
  <r>
    <s v="747-58-7183"/>
    <x v="2"/>
    <s v="Mandalay"/>
    <s v="Normal"/>
    <s v="Male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</r>
  <r>
    <s v="582-52-8065"/>
    <x v="2"/>
    <s v="Mandalay"/>
    <s v="Normal"/>
    <s v="Female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</r>
  <r>
    <s v="210-57-1719"/>
    <x v="2"/>
    <s v="Mandalay"/>
    <s v="Normal"/>
    <s v="Female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</r>
  <r>
    <s v="399-69-4630"/>
    <x v="1"/>
    <s v="Naypyitaw"/>
    <s v="Normal"/>
    <s v="Male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</r>
  <r>
    <s v="134-75-2619"/>
    <x v="0"/>
    <s v="Yangon"/>
    <s v="Member"/>
    <s v="Male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</r>
  <r>
    <s v="356-44-8813"/>
    <x v="2"/>
    <s v="Mandalay"/>
    <s v="Normal"/>
    <s v="Male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</r>
  <r>
    <s v="198-66-9832"/>
    <x v="2"/>
    <s v="Mandalay"/>
    <s v="Member"/>
    <s v="Female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</r>
  <r>
    <s v="283-26-5248"/>
    <x v="1"/>
    <s v="Naypyitaw"/>
    <s v="Member"/>
    <s v="Female"/>
    <x v="4"/>
    <n v="98.52"/>
    <n v="10"/>
    <n v="49.26"/>
    <n v="1034.46"/>
    <s v="1/30/2019"/>
    <d v="1899-12-30T20:23:00"/>
    <s v="Ewallet"/>
    <n v="985.2"/>
    <n v="4.7619047620000003"/>
    <n v="49.26"/>
    <n v="4.5"/>
  </r>
  <r>
    <s v="712-39-0363"/>
    <x v="0"/>
    <s v="Yangon"/>
    <s v="Member"/>
    <s v="Male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</r>
  <r>
    <s v="218-59-9410"/>
    <x v="0"/>
    <s v="Yangon"/>
    <s v="Member"/>
    <s v="Female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</r>
  <r>
    <s v="174-75-0888"/>
    <x v="2"/>
    <s v="Mandalay"/>
    <s v="Normal"/>
    <s v="Male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</r>
  <r>
    <s v="866-99-7614"/>
    <x v="1"/>
    <s v="Naypyitaw"/>
    <s v="Normal"/>
    <s v="Male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</r>
  <r>
    <s v="134-54-4720"/>
    <x v="2"/>
    <s v="Mandalay"/>
    <s v="Normal"/>
    <s v="Female"/>
    <x v="1"/>
    <n v="42.42"/>
    <n v="8"/>
    <n v="16.968"/>
    <n v="356.32799999999997"/>
    <s v="1/30/2019"/>
    <d v="1899-12-30T13:58:00"/>
    <s v="Ewallet"/>
    <n v="339.36"/>
    <n v="4.7619047620000003"/>
    <n v="16.968"/>
    <n v="5.7"/>
  </r>
  <r>
    <s v="760-90-2357"/>
    <x v="0"/>
    <s v="Yangon"/>
    <s v="Member"/>
    <s v="Male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</r>
  <r>
    <s v="514-37-2845"/>
    <x v="2"/>
    <s v="Mandalay"/>
    <s v="Normal"/>
    <s v="Male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</r>
  <r>
    <s v="698-98-5964"/>
    <x v="0"/>
    <s v="Yangon"/>
    <s v="Normal"/>
    <s v="Female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</r>
  <r>
    <s v="718-57-9773"/>
    <x v="1"/>
    <s v="Naypyitaw"/>
    <s v="Normal"/>
    <s v="Female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</r>
  <r>
    <s v="651-88-7328"/>
    <x v="0"/>
    <s v="Yangon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</r>
  <r>
    <s v="241-11-2261"/>
    <x v="2"/>
    <s v="Mandalay"/>
    <s v="Normal"/>
    <s v="Female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</r>
  <r>
    <s v="408-26-9866"/>
    <x v="1"/>
    <s v="Naypyitaw"/>
    <s v="Normal"/>
    <s v="Female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</r>
  <r>
    <s v="834-83-1826"/>
    <x v="2"/>
    <s v="Mandalay"/>
    <s v="Member"/>
    <s v="Female"/>
    <x v="2"/>
    <n v="82.04"/>
    <n v="5"/>
    <n v="20.51"/>
    <n v="430.71"/>
    <s v="2/25/2019"/>
    <d v="1899-12-30T17:16:00"/>
    <s v="Credit card"/>
    <n v="410.2"/>
    <n v="4.7619047620000003"/>
    <n v="20.51"/>
    <n v="7.6"/>
  </r>
  <r>
    <s v="343-61-3544"/>
    <x v="2"/>
    <s v="Mandalay"/>
    <s v="Member"/>
    <s v="Male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</r>
  <r>
    <s v="239-48-4278"/>
    <x v="0"/>
    <s v="Yangon"/>
    <s v="Member"/>
    <s v="Male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</r>
  <r>
    <s v="355-34-6244"/>
    <x v="2"/>
    <s v="Mandalay"/>
    <s v="Normal"/>
    <s v="Male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</r>
  <r>
    <s v="550-84-8664"/>
    <x v="0"/>
    <s v="Yangon"/>
    <s v="Normal"/>
    <s v="Male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</r>
  <r>
    <s v="339-96-8318"/>
    <x v="2"/>
    <s v="Mandalay"/>
    <s v="Member"/>
    <s v="Male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</r>
  <r>
    <s v="458-61-0011"/>
    <x v="2"/>
    <s v="Mandalay"/>
    <s v="Normal"/>
    <s v="Male"/>
    <x v="4"/>
    <n v="60.3"/>
    <n v="4"/>
    <n v="12.06"/>
    <n v="253.26"/>
    <s v="2/20/2019"/>
    <d v="1899-12-30T18:43:00"/>
    <s v="Cash"/>
    <n v="241.2"/>
    <n v="4.7619047620000003"/>
    <n v="12.06"/>
    <n v="5.8"/>
  </r>
  <r>
    <s v="592-34-6155"/>
    <x v="1"/>
    <s v="Naypyitaw"/>
    <s v="Normal"/>
    <s v="Male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</r>
  <r>
    <s v="797-88-0493"/>
    <x v="0"/>
    <s v="Yangon"/>
    <s v="Normal"/>
    <s v="Female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</r>
  <r>
    <s v="207-73-1363"/>
    <x v="2"/>
    <s v="Mandalay"/>
    <s v="Normal"/>
    <s v="Male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</r>
  <r>
    <s v="390-31-6381"/>
    <x v="1"/>
    <s v="Naypyitaw"/>
    <s v="Normal"/>
    <s v="Male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</r>
  <r>
    <s v="443-82-0585"/>
    <x v="0"/>
    <s v="Yangon"/>
    <s v="Member"/>
    <s v="Female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</r>
  <r>
    <s v="339-18-7061"/>
    <x v="1"/>
    <s v="Naypyitaw"/>
    <s v="Member"/>
    <s v="Female"/>
    <x v="5"/>
    <n v="92.98"/>
    <n v="2"/>
    <n v="9.298"/>
    <n v="195.25800000000001"/>
    <s v="2/13/2019"/>
    <d v="1899-12-30T15:06:00"/>
    <s v="Credit card"/>
    <n v="185.96"/>
    <n v="4.7619047620000003"/>
    <n v="9.298"/>
    <n v="8"/>
  </r>
  <r>
    <s v="359-90-3665"/>
    <x v="2"/>
    <s v="Mandalay"/>
    <s v="Member"/>
    <s v="Female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</r>
  <r>
    <s v="375-72-3056"/>
    <x v="2"/>
    <s v="Mandalay"/>
    <s v="Normal"/>
    <s v="Male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</r>
  <r>
    <s v="127-47-6963"/>
    <x v="0"/>
    <s v="Yangon"/>
    <s v="Normal"/>
    <s v="Male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</r>
  <r>
    <s v="278-86-2735"/>
    <x v="0"/>
    <s v="Yangon"/>
    <s v="Normal"/>
    <s v="Female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</r>
  <r>
    <s v="695-28-6250"/>
    <x v="0"/>
    <s v="Yangon"/>
    <s v="Normal"/>
    <s v="Female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</r>
  <r>
    <s v="379-17-6588"/>
    <x v="1"/>
    <s v="Naypyitaw"/>
    <s v="Normal"/>
    <s v="Male"/>
    <x v="5"/>
    <n v="59.61"/>
    <n v="10"/>
    <n v="29.805"/>
    <n v="625.90499999999997"/>
    <s v="3/14/2019"/>
    <d v="1899-12-30T11:07:00"/>
    <s v="Cash"/>
    <n v="596.1"/>
    <n v="4.7619047620000003"/>
    <n v="29.805"/>
    <n v="5.3"/>
  </r>
  <r>
    <s v="227-50-3718"/>
    <x v="0"/>
    <s v="Yangon"/>
    <s v="Normal"/>
    <s v="Male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</r>
  <r>
    <s v="302-15-2162"/>
    <x v="1"/>
    <s v="Naypyitaw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</r>
  <r>
    <s v="788-07-8452"/>
    <x v="1"/>
    <s v="Naypyitaw"/>
    <s v="Member"/>
    <s v="Female"/>
    <x v="2"/>
    <n v="24.24"/>
    <n v="7"/>
    <n v="8.484"/>
    <n v="178.16399999999999"/>
    <s v="1/27/2019"/>
    <d v="1899-12-30T17:38:00"/>
    <s v="Ewallet"/>
    <n v="169.68"/>
    <n v="4.7619047620000003"/>
    <n v="8.484"/>
    <n v="9.4"/>
  </r>
  <r>
    <s v="560-49-6611"/>
    <x v="0"/>
    <s v="Yangon"/>
    <s v="Member"/>
    <s v="Female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</r>
  <r>
    <s v="880-35-0356"/>
    <x v="0"/>
    <s v="Yangon"/>
    <s v="Member"/>
    <s v="Female"/>
    <x v="3"/>
    <n v="75.2"/>
    <n v="3"/>
    <n v="11.28"/>
    <n v="236.88"/>
    <d v="2019-05-02T00:00:00"/>
    <d v="1899-12-30T11:51:00"/>
    <s v="Ewallet"/>
    <n v="225.6"/>
    <n v="4.7619047620000003"/>
    <n v="11.28"/>
    <n v="4.8"/>
  </r>
  <r>
    <s v="585-11-6748"/>
    <x v="2"/>
    <s v="Mandalay"/>
    <s v="Member"/>
    <s v="Male"/>
    <x v="3"/>
    <n v="96.8"/>
    <n v="3"/>
    <n v="14.52"/>
    <n v="304.92"/>
    <s v="3/15/2019"/>
    <d v="1899-12-30T13:05:00"/>
    <s v="Cash"/>
    <n v="290.39999999999998"/>
    <n v="4.7619047620000003"/>
    <n v="14.52"/>
    <n v="5.3"/>
  </r>
  <r>
    <s v="470-31-3286"/>
    <x v="2"/>
    <s v="Mandalay"/>
    <s v="Normal"/>
    <s v="Male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</r>
  <r>
    <s v="152-68-2907"/>
    <x v="0"/>
    <s v="Yangon"/>
    <s v="Normal"/>
    <s v="Male"/>
    <x v="4"/>
    <n v="52.2"/>
    <n v="3"/>
    <n v="7.83"/>
    <n v="164.43"/>
    <s v="2/15/2019"/>
    <d v="1899-12-30T13:30:00"/>
    <s v="Credit card"/>
    <n v="156.6"/>
    <n v="4.7619047620000003"/>
    <n v="7.83"/>
    <n v="9.5"/>
  </r>
  <r>
    <s v="123-35-4896"/>
    <x v="1"/>
    <s v="Naypyitaw"/>
    <s v="Normal"/>
    <s v="Female"/>
    <x v="3"/>
    <n v="46.66"/>
    <n v="9"/>
    <n v="20.997"/>
    <n v="440.93700000000001"/>
    <s v="2/17/2019"/>
    <d v="1899-12-30T19:11:00"/>
    <s v="Ewallet"/>
    <n v="419.94"/>
    <n v="4.7619047620000003"/>
    <n v="20.997"/>
    <n v="5.3"/>
  </r>
  <r>
    <s v="258-69-7810"/>
    <x v="1"/>
    <s v="Naypyitaw"/>
    <s v="Normal"/>
    <s v="Female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</r>
  <r>
    <s v="334-64-2006"/>
    <x v="0"/>
    <s v="Yangon"/>
    <s v="Member"/>
    <s v="Female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</r>
  <r>
    <s v="219-61-4139"/>
    <x v="1"/>
    <s v="Naypyitaw"/>
    <s v="Normal"/>
    <s v="Male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</r>
  <r>
    <s v="881-41-7302"/>
    <x v="1"/>
    <s v="Naypyitaw"/>
    <s v="Normal"/>
    <s v="Female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</r>
  <r>
    <s v="373-09-4567"/>
    <x v="1"/>
    <s v="Naypyitaw"/>
    <s v="Normal"/>
    <s v="Male"/>
    <x v="4"/>
    <n v="77.56"/>
    <n v="10"/>
    <n v="38.78"/>
    <n v="814.38"/>
    <s v="3/14/2019"/>
    <d v="1899-12-30T20:35:00"/>
    <s v="Ewallet"/>
    <n v="775.6"/>
    <n v="4.7619047620000003"/>
    <n v="38.78"/>
    <n v="6.9"/>
  </r>
  <r>
    <s v="642-30-6693"/>
    <x v="2"/>
    <s v="Mandalay"/>
    <s v="Normal"/>
    <s v="Female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</r>
  <r>
    <s v="484-22-8230"/>
    <x v="1"/>
    <s v="Naypyitaw"/>
    <s v="Member"/>
    <s v="Female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</r>
  <r>
    <s v="830-58-2383"/>
    <x v="2"/>
    <s v="Mandalay"/>
    <s v="Normal"/>
    <s v="Male"/>
    <x v="2"/>
    <n v="31.75"/>
    <n v="4"/>
    <n v="6.35"/>
    <n v="133.35"/>
    <d v="2019-08-02T00:00:00"/>
    <d v="1899-12-30T15:26:00"/>
    <s v="Cash"/>
    <n v="127"/>
    <n v="4.7619047620000003"/>
    <n v="6.35"/>
    <n v="8.6"/>
  </r>
  <r>
    <s v="559-98-9873"/>
    <x v="0"/>
    <s v="Yangon"/>
    <s v="Member"/>
    <s v="Female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</r>
  <r>
    <s v="544-32-5024"/>
    <x v="1"/>
    <s v="Naypyitaw"/>
    <s v="Member"/>
    <s v="Female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</r>
  <r>
    <s v="318-12-0304"/>
    <x v="0"/>
    <s v="Yangon"/>
    <s v="Normal"/>
    <s v="Male"/>
    <x v="5"/>
    <n v="30.61"/>
    <n v="1"/>
    <n v="1.5305"/>
    <n v="32.140500000000003"/>
    <s v="1/23/2019"/>
    <d v="1899-12-30T12:20:00"/>
    <s v="Ewallet"/>
    <n v="30.61"/>
    <n v="4.7619047620000003"/>
    <n v="1.5305"/>
    <n v="5.2"/>
  </r>
  <r>
    <s v="349-97-8902"/>
    <x v="2"/>
    <s v="Mandalay"/>
    <s v="Member"/>
    <s v="Male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</r>
  <r>
    <s v="421-95-9805"/>
    <x v="0"/>
    <s v="Yangon"/>
    <s v="Normal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</r>
  <r>
    <s v="277-35-5865"/>
    <x v="1"/>
    <s v="Naypyitaw"/>
    <s v="Member"/>
    <s v="Female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</r>
  <r>
    <s v="789-23-8625"/>
    <x v="2"/>
    <s v="Mandalay"/>
    <s v="Member"/>
    <s v="Male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</r>
  <r>
    <s v="284-54-4231"/>
    <x v="1"/>
    <s v="Naypyitaw"/>
    <s v="Member"/>
    <s v="Male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</r>
  <r>
    <s v="443-59-0061"/>
    <x v="0"/>
    <s v="Yangon"/>
    <s v="Member"/>
    <s v="Male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</r>
  <r>
    <s v="509-29-3912"/>
    <x v="0"/>
    <s v="Yangon"/>
    <s v="Member"/>
    <s v="Female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</r>
  <r>
    <s v="327-40-9673"/>
    <x v="2"/>
    <s v="Mandalay"/>
    <s v="Member"/>
    <s v="Male"/>
    <x v="3"/>
    <n v="72.599999999999994"/>
    <n v="6"/>
    <n v="21.78"/>
    <n v="457.38"/>
    <s v="1/13/2019"/>
    <d v="1899-12-30T19:51:00"/>
    <s v="Cash"/>
    <n v="435.6"/>
    <n v="4.7619047620000003"/>
    <n v="21.78"/>
    <n v="6.9"/>
  </r>
  <r>
    <s v="840-19-2096"/>
    <x v="1"/>
    <s v="Naypyitaw"/>
    <s v="Member"/>
    <s v="Male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</r>
  <r>
    <s v="828-46-6863"/>
    <x v="0"/>
    <s v="Yangon"/>
    <s v="Member"/>
    <s v="Male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</r>
  <r>
    <s v="641-96-3695"/>
    <x v="1"/>
    <s v="Naypyitaw"/>
    <s v="Member"/>
    <s v="Female"/>
    <x v="5"/>
    <n v="43.46"/>
    <n v="6"/>
    <n v="13.038"/>
    <n v="273.798"/>
    <d v="2019-07-02T00:00:00"/>
    <d v="1899-12-30T17:55:00"/>
    <s v="Ewallet"/>
    <n v="260.76"/>
    <n v="4.7619047620000003"/>
    <n v="13.038"/>
    <n v="8.5"/>
  </r>
  <r>
    <s v="420-97-3340"/>
    <x v="0"/>
    <s v="Yangon"/>
    <s v="Normal"/>
    <s v="Female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</r>
  <r>
    <s v="436-54-4512"/>
    <x v="0"/>
    <s v="Yangon"/>
    <s v="Member"/>
    <s v="Female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</r>
  <r>
    <s v="670-79-6321"/>
    <x v="2"/>
    <s v="Mandalay"/>
    <s v="Member"/>
    <s v="Female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</r>
  <r>
    <s v="852-62-7105"/>
    <x v="2"/>
    <s v="Mandalay"/>
    <s v="Normal"/>
    <s v="Female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</r>
  <r>
    <s v="598-06-7312"/>
    <x v="2"/>
    <s v="Mandalay"/>
    <s v="Member"/>
    <s v="Male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</r>
  <r>
    <s v="135-13-8269"/>
    <x v="2"/>
    <s v="Mandalay"/>
    <s v="Member"/>
    <s v="Female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</r>
  <r>
    <s v="816-57-2053"/>
    <x v="0"/>
    <s v="Yangon"/>
    <s v="Normal"/>
    <s v="Male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</r>
  <r>
    <s v="628-90-8624"/>
    <x v="2"/>
    <s v="Mandalay"/>
    <s v="Member"/>
    <s v="Male"/>
    <x v="0"/>
    <n v="82.58"/>
    <n v="10"/>
    <n v="41.29"/>
    <n v="867.09"/>
    <s v="3/14/2019"/>
    <d v="1899-12-30T14:41:00"/>
    <s v="Cash"/>
    <n v="825.8"/>
    <n v="4.7619047620000003"/>
    <n v="41.29"/>
    <n v="5"/>
  </r>
  <r>
    <s v="856-66-2701"/>
    <x v="0"/>
    <s v="Yangon"/>
    <s v="Member"/>
    <s v="Male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</r>
  <r>
    <s v="308-39-1707"/>
    <x v="0"/>
    <s v="Yangon"/>
    <s v="Normal"/>
    <s v="Female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</r>
  <r>
    <s v="149-61-1929"/>
    <x v="0"/>
    <s v="Yangon"/>
    <s v="Normal"/>
    <s v="Male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</r>
  <r>
    <s v="655-07-2265"/>
    <x v="0"/>
    <s v="Yangon"/>
    <s v="Normal"/>
    <s v="Male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</r>
  <r>
    <s v="589-02-8023"/>
    <x v="0"/>
    <s v="Yangon"/>
    <s v="Member"/>
    <s v="Male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</r>
  <r>
    <s v="420-04-7590"/>
    <x v="2"/>
    <s v="Mandalay"/>
    <s v="Normal"/>
    <s v="Male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</r>
  <r>
    <s v="182-88-2763"/>
    <x v="2"/>
    <s v="Mandalay"/>
    <s v="Member"/>
    <s v="Male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</r>
  <r>
    <s v="188-55-0967"/>
    <x v="2"/>
    <s v="Mandalay"/>
    <s v="Member"/>
    <s v="Male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</r>
  <r>
    <s v="610-46-4100"/>
    <x v="0"/>
    <s v="Yangon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</r>
  <r>
    <s v="318-81-2368"/>
    <x v="1"/>
    <s v="Naypyitaw"/>
    <s v="Normal"/>
    <s v="Female"/>
    <x v="1"/>
    <n v="46.2"/>
    <n v="1"/>
    <n v="2.31"/>
    <n v="48.51"/>
    <s v="3/19/2019"/>
    <d v="1899-12-30T12:16:00"/>
    <s v="Cash"/>
    <n v="46.2"/>
    <n v="4.7619047620000003"/>
    <n v="2.31"/>
    <n v="6.3"/>
  </r>
  <r>
    <s v="364-33-8584"/>
    <x v="2"/>
    <s v="Mandalay"/>
    <s v="Member"/>
    <s v="Female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</r>
  <r>
    <s v="665-63-9737"/>
    <x v="2"/>
    <s v="Mandalay"/>
    <s v="Normal"/>
    <s v="Male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</r>
  <r>
    <s v="695-09-5146"/>
    <x v="2"/>
    <s v="Mandalay"/>
    <s v="Member"/>
    <s v="Female"/>
    <x v="4"/>
    <n v="98.79"/>
    <n v="3"/>
    <n v="14.8185"/>
    <n v="311.18849999999998"/>
    <s v="2/23/2019"/>
    <d v="1899-12-30T20:00:00"/>
    <s v="Ewallet"/>
    <n v="296.37"/>
    <n v="4.7619047620000003"/>
    <n v="14.8185"/>
    <n v="6.4"/>
  </r>
  <r>
    <s v="155-45-3814"/>
    <x v="1"/>
    <s v="Naypyitaw"/>
    <s v="Member"/>
    <s v="Female"/>
    <x v="1"/>
    <n v="88.55"/>
    <n v="8"/>
    <n v="35.42"/>
    <n v="743.82"/>
    <s v="3/19/2019"/>
    <d v="1899-12-30T15:29:00"/>
    <s v="Ewallet"/>
    <n v="708.4"/>
    <n v="4.7619047620000003"/>
    <n v="35.42"/>
    <n v="4.7"/>
  </r>
  <r>
    <s v="794-32-2436"/>
    <x v="2"/>
    <s v="Mandalay"/>
    <s v="Member"/>
    <s v="Male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</r>
  <r>
    <s v="131-15-8856"/>
    <x v="1"/>
    <s v="Naypyitaw"/>
    <s v="Member"/>
    <s v="Female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</r>
  <r>
    <s v="273-84-2164"/>
    <x v="1"/>
    <s v="Naypyitaw"/>
    <s v="Member"/>
    <s v="Male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</r>
  <r>
    <s v="706-36-6154"/>
    <x v="0"/>
    <s v="Yangon"/>
    <s v="Member"/>
    <s v="Male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</r>
  <r>
    <s v="778-89-7974"/>
    <x v="1"/>
    <s v="Naypyitaw"/>
    <s v="Normal"/>
    <s v="Male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</r>
  <r>
    <s v="574-31-8277"/>
    <x v="2"/>
    <s v="Mandalay"/>
    <s v="Member"/>
    <s v="Male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</r>
  <r>
    <s v="859-71-0933"/>
    <x v="1"/>
    <s v="Naypyitaw"/>
    <s v="Member"/>
    <s v="Female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</r>
  <r>
    <s v="740-11-5257"/>
    <x v="1"/>
    <s v="Naypyitaw"/>
    <s v="Normal"/>
    <s v="Male"/>
    <x v="1"/>
    <n v="24.74"/>
    <n v="10"/>
    <n v="12.37"/>
    <n v="259.77"/>
    <s v="2/24/2019"/>
    <d v="1899-12-30T16:44:00"/>
    <s v="Cash"/>
    <n v="247.4"/>
    <n v="4.7619047620000003"/>
    <n v="12.37"/>
    <n v="7.1"/>
  </r>
  <r>
    <s v="369-82-2676"/>
    <x v="2"/>
    <s v="Mandalay"/>
    <s v="Normal"/>
    <s v="Male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</r>
  <r>
    <s v="563-47-4072"/>
    <x v="2"/>
    <s v="Mandalay"/>
    <s v="Normal"/>
    <s v="Female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</r>
  <r>
    <s v="742-04-5161"/>
    <x v="0"/>
    <s v="Yangon"/>
    <s v="Member"/>
    <s v="Male"/>
    <x v="2"/>
    <n v="72.78"/>
    <n v="10"/>
    <n v="36.39"/>
    <n v="764.19"/>
    <d v="2019-03-02T00:00:00"/>
    <d v="1899-12-30T17:24:00"/>
    <s v="Cash"/>
    <n v="727.8"/>
    <n v="4.7619047620000003"/>
    <n v="36.39"/>
    <n v="7.3"/>
  </r>
  <r>
    <s v="149-15-7606"/>
    <x v="2"/>
    <s v="Mandalay"/>
    <s v="Member"/>
    <s v="Male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</r>
  <r>
    <s v="133-77-3154"/>
    <x v="2"/>
    <s v="Mandalay"/>
    <s v="Member"/>
    <s v="Male"/>
    <x v="5"/>
    <n v="60.18"/>
    <n v="4"/>
    <n v="12.036"/>
    <n v="252.756"/>
    <s v="2/16/2019"/>
    <d v="1899-12-30T18:04:00"/>
    <s v="Credit card"/>
    <n v="240.72"/>
    <n v="4.7619047620000003"/>
    <n v="12.036"/>
    <n v="9.4"/>
  </r>
  <r>
    <s v="169-52-4504"/>
    <x v="0"/>
    <s v="Yangon"/>
    <s v="Normal"/>
    <s v="Female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</r>
  <r>
    <s v="250-81-7186"/>
    <x v="1"/>
    <s v="Naypyitaw"/>
    <s v="Normal"/>
    <s v="Female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</r>
  <r>
    <s v="562-12-5430"/>
    <x v="0"/>
    <s v="Yangon"/>
    <s v="Member"/>
    <s v="Female"/>
    <x v="5"/>
    <n v="88.15"/>
    <n v="3"/>
    <n v="13.2225"/>
    <n v="277.67250000000001"/>
    <s v="1/18/2019"/>
    <d v="1899-12-30T10:11:00"/>
    <s v="Ewallet"/>
    <n v="264.45"/>
    <n v="4.7619047620000003"/>
    <n v="13.2225"/>
    <n v="7.9"/>
  </r>
  <r>
    <s v="816-72-8853"/>
    <x v="0"/>
    <s v="Yangon"/>
    <s v="Member"/>
    <s v="Female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</r>
  <r>
    <s v="491-38-3499"/>
    <x v="0"/>
    <s v="Yangon"/>
    <s v="Member"/>
    <s v="Male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</r>
  <r>
    <s v="322-02-2271"/>
    <x v="2"/>
    <s v="Mandalay"/>
    <s v="Normal"/>
    <s v="Female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</r>
  <r>
    <s v="842-29-4695"/>
    <x v="1"/>
    <s v="Naypyitaw"/>
    <s v="Member"/>
    <s v="Male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</r>
  <r>
    <s v="725-67-2480"/>
    <x v="2"/>
    <s v="Mandalay"/>
    <s v="Member"/>
    <s v="Female"/>
    <x v="5"/>
    <n v="58.75"/>
    <n v="6"/>
    <n v="17.625"/>
    <n v="370.125"/>
    <s v="3/24/2019"/>
    <d v="1899-12-30T18:14:00"/>
    <s v="Credit card"/>
    <n v="352.5"/>
    <n v="4.7619047620000003"/>
    <n v="17.625"/>
    <n v="5.9"/>
  </r>
  <r>
    <s v="641-51-2661"/>
    <x v="1"/>
    <s v="Naypyitaw"/>
    <s v="Member"/>
    <s v="Female"/>
    <x v="4"/>
    <n v="87.1"/>
    <n v="10"/>
    <n v="43.55"/>
    <n v="914.55"/>
    <d v="2019-12-02T00:00:00"/>
    <d v="1899-12-30T14:45:00"/>
    <s v="Credit card"/>
    <n v="871"/>
    <n v="4.7619047620000003"/>
    <n v="43.55"/>
    <n v="9.9"/>
  </r>
  <r>
    <s v="714-02-3114"/>
    <x v="1"/>
    <s v="Naypyitaw"/>
    <s v="Normal"/>
    <s v="Female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</r>
  <r>
    <s v="518-17-2983"/>
    <x v="0"/>
    <s v="Yangon"/>
    <s v="Normal"/>
    <s v="Female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</r>
  <r>
    <s v="779-42-2410"/>
    <x v="2"/>
    <s v="Mandalay"/>
    <s v="Member"/>
    <s v="Male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</r>
  <r>
    <s v="190-14-3147"/>
    <x v="2"/>
    <s v="Mandalay"/>
    <s v="Normal"/>
    <s v="Female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</r>
  <r>
    <s v="408-66-6712"/>
    <x v="1"/>
    <s v="Naypyitaw"/>
    <s v="Member"/>
    <s v="Female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</r>
  <r>
    <s v="679-22-6530"/>
    <x v="2"/>
    <s v="Mandalay"/>
    <s v="Normal"/>
    <s v="Female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</r>
  <r>
    <s v="588-47-8641"/>
    <x v="0"/>
    <s v="Yangon"/>
    <s v="Member"/>
    <s v="Male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</r>
  <r>
    <s v="642-61-4706"/>
    <x v="2"/>
    <s v="Mandalay"/>
    <s v="Member"/>
    <s v="Male"/>
    <x v="4"/>
    <n v="93.4"/>
    <n v="2"/>
    <n v="9.34"/>
    <n v="196.14"/>
    <s v="3/30/2019"/>
    <d v="1899-12-30T16:34:00"/>
    <s v="Cash"/>
    <n v="186.8"/>
    <n v="4.7619047620000003"/>
    <n v="9.34"/>
    <n v="5.5"/>
  </r>
  <r>
    <s v="576-31-4774"/>
    <x v="2"/>
    <s v="Mandalay"/>
    <s v="Normal"/>
    <s v="Female"/>
    <x v="0"/>
    <n v="73.41"/>
    <n v="3"/>
    <n v="11.0115"/>
    <n v="231.2415"/>
    <d v="2019-02-03T00:00:00"/>
    <d v="1899-12-30T13:10:00"/>
    <s v="Ewallet"/>
    <n v="220.23"/>
    <n v="4.7619047620000003"/>
    <n v="11.0115"/>
    <n v="4"/>
  </r>
  <r>
    <s v="556-41-6224"/>
    <x v="1"/>
    <s v="Naypyitaw"/>
    <s v="Normal"/>
    <s v="Male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</r>
  <r>
    <s v="811-03-8790"/>
    <x v="0"/>
    <s v="Yangon"/>
    <s v="Normal"/>
    <s v="Female"/>
    <x v="1"/>
    <n v="45.48"/>
    <n v="10"/>
    <n v="22.74"/>
    <n v="477.54"/>
    <d v="2019-01-03T00:00:00"/>
    <d v="1899-12-30T10:22:00"/>
    <s v="Credit card"/>
    <n v="454.8"/>
    <n v="4.7619047620000003"/>
    <n v="22.74"/>
    <n v="4.8"/>
  </r>
  <r>
    <s v="242-11-3142"/>
    <x v="2"/>
    <s v="Mandalay"/>
    <s v="Member"/>
    <s v="Male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</r>
  <r>
    <s v="752-23-3760"/>
    <x v="2"/>
    <s v="Mandalay"/>
    <s v="Member"/>
    <s v="Female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</r>
  <r>
    <s v="274-05-5470"/>
    <x v="0"/>
    <s v="Yangon"/>
    <s v="Member"/>
    <s v="Female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</r>
  <r>
    <s v="648-94-3045"/>
    <x v="1"/>
    <s v="Naypyitaw"/>
    <s v="Normal"/>
    <s v="Male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</r>
  <r>
    <s v="130-67-4723"/>
    <x v="0"/>
    <s v="Yangon"/>
    <s v="Member"/>
    <s v="Male"/>
    <x v="4"/>
    <n v="48.5"/>
    <n v="6"/>
    <n v="14.55"/>
    <n v="305.55"/>
    <d v="2019-11-01T00:00:00"/>
    <d v="1899-12-30T13:57:00"/>
    <s v="Ewallet"/>
    <n v="291"/>
    <n v="4.7619047620000003"/>
    <n v="14.55"/>
    <n v="9.4"/>
  </r>
  <r>
    <s v="528-87-5606"/>
    <x v="2"/>
    <s v="Mandalay"/>
    <s v="Member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</r>
  <r>
    <s v="320-85-2052"/>
    <x v="2"/>
    <s v="Mandalay"/>
    <s v="Normal"/>
    <s v="Female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</r>
  <r>
    <s v="370-96-0655"/>
    <x v="1"/>
    <s v="Naypyitaw"/>
    <s v="Normal"/>
    <s v="Female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</r>
  <r>
    <s v="105-10-6182"/>
    <x v="0"/>
    <s v="Yangon"/>
    <s v="Member"/>
    <s v="Male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</r>
  <r>
    <s v="510-79-0415"/>
    <x v="2"/>
    <s v="Mandalay"/>
    <s v="Member"/>
    <s v="Female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</r>
  <r>
    <s v="241-96-5076"/>
    <x v="2"/>
    <s v="Mandalay"/>
    <s v="Member"/>
    <s v="Female"/>
    <x v="2"/>
    <n v="49.1"/>
    <n v="2"/>
    <n v="4.91"/>
    <n v="103.11"/>
    <d v="2019-08-01T00:00:00"/>
    <d v="1899-12-30T12:58:00"/>
    <s v="Credit card"/>
    <n v="98.2"/>
    <n v="4.7619047620000003"/>
    <n v="4.91"/>
    <n v="6.4"/>
  </r>
  <r>
    <s v="767-97-4650"/>
    <x v="2"/>
    <s v="Mandalay"/>
    <s v="Member"/>
    <s v="Female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</r>
  <r>
    <s v="648-83-1321"/>
    <x v="0"/>
    <s v="Yangon"/>
    <s v="Member"/>
    <s v="Male"/>
    <x v="2"/>
    <n v="63.56"/>
    <n v="10"/>
    <n v="31.78"/>
    <n v="667.38"/>
    <s v="1/16/2019"/>
    <d v="1899-12-30T17:59:00"/>
    <s v="Cash"/>
    <n v="635.6"/>
    <n v="4.7619047620000003"/>
    <n v="31.78"/>
    <n v="4.3"/>
  </r>
  <r>
    <s v="173-57-2300"/>
    <x v="1"/>
    <s v="Naypyitaw"/>
    <s v="Member"/>
    <s v="Male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</r>
  <r>
    <s v="305-03-2383"/>
    <x v="0"/>
    <s v="Yangon"/>
    <s v="Normal"/>
    <s v="Female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</r>
  <r>
    <s v="394-55-6384"/>
    <x v="1"/>
    <s v="Naypyitaw"/>
    <s v="Member"/>
    <s v="Female"/>
    <x v="3"/>
    <n v="70.19"/>
    <n v="9"/>
    <n v="31.5855"/>
    <n v="663.29549999999995"/>
    <s v="1/25/2019"/>
    <d v="1899-12-30T13:38:00"/>
    <s v="Cash"/>
    <n v="631.71"/>
    <n v="4.7619047620000003"/>
    <n v="31.5855"/>
    <n v="6.7"/>
  </r>
  <r>
    <s v="266-20-6657"/>
    <x v="1"/>
    <s v="Naypyitaw"/>
    <s v="Member"/>
    <s v="Male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</r>
  <r>
    <s v="689-05-1884"/>
    <x v="0"/>
    <s v="Yangon"/>
    <s v="Member"/>
    <s v="Male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</r>
  <r>
    <s v="196-01-2849"/>
    <x v="1"/>
    <s v="Naypyitaw"/>
    <s v="Member"/>
    <s v="Female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</r>
  <r>
    <s v="372-62-5264"/>
    <x v="1"/>
    <s v="Naypyitaw"/>
    <s v="Normal"/>
    <s v="Female"/>
    <x v="4"/>
    <n v="52.6"/>
    <n v="9"/>
    <n v="23.67"/>
    <n v="497.07"/>
    <s v="1/16/2019"/>
    <d v="1899-12-30T14:42:00"/>
    <s v="Cash"/>
    <n v="473.4"/>
    <n v="4.7619047620000003"/>
    <n v="23.67"/>
    <n v="7.6"/>
  </r>
  <r>
    <s v="800-09-8606"/>
    <x v="0"/>
    <s v="Yangon"/>
    <s v="Member"/>
    <s v="Female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</r>
  <r>
    <s v="182-52-7000"/>
    <x v="0"/>
    <s v="Yangon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</r>
  <r>
    <s v="826-58-8051"/>
    <x v="2"/>
    <s v="Mandalay"/>
    <s v="Normal"/>
    <s v="Male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</r>
  <r>
    <s v="868-06-0466"/>
    <x v="0"/>
    <s v="Yangon"/>
    <s v="Member"/>
    <s v="Male"/>
    <x v="1"/>
    <n v="69.58"/>
    <n v="9"/>
    <n v="31.311"/>
    <n v="657.53099999999995"/>
    <s v="2/19/2019"/>
    <d v="1899-12-30T19:38:00"/>
    <s v="Credit card"/>
    <n v="626.22"/>
    <n v="4.7619047620000003"/>
    <n v="31.311"/>
    <n v="7.8"/>
  </r>
  <r>
    <s v="751-41-9720"/>
    <x v="1"/>
    <s v="Naypyitaw"/>
    <s v="Normal"/>
    <s v="Male"/>
    <x v="2"/>
    <n v="97.5"/>
    <n v="10"/>
    <n v="48.75"/>
    <n v="1023.75"/>
    <d v="2019-12-01T00:00:00"/>
    <d v="1899-12-30T16:18:00"/>
    <s v="Ewallet"/>
    <n v="975"/>
    <n v="4.7619047620000003"/>
    <n v="48.75"/>
    <n v="8"/>
  </r>
  <r>
    <s v="626-43-7888"/>
    <x v="1"/>
    <s v="Naypyitaw"/>
    <s v="Normal"/>
    <s v="Female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</r>
  <r>
    <s v="176-64-7711"/>
    <x v="2"/>
    <s v="Mandalay"/>
    <s v="Normal"/>
    <s v="Male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</r>
  <r>
    <s v="191-29-0321"/>
    <x v="2"/>
    <s v="Mandalay"/>
    <s v="Member"/>
    <s v="Female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</r>
  <r>
    <s v="729-06-2010"/>
    <x v="2"/>
    <s v="Mandalay"/>
    <s v="Member"/>
    <s v="Male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</r>
  <r>
    <s v="640-48-5028"/>
    <x v="2"/>
    <s v="Mandalay"/>
    <s v="Member"/>
    <s v="Female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</r>
  <r>
    <s v="186-79-9562"/>
    <x v="2"/>
    <s v="Mandalay"/>
    <s v="Normal"/>
    <s v="Male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</r>
  <r>
    <s v="834-45-5519"/>
    <x v="2"/>
    <s v="Mandalay"/>
    <s v="Normal"/>
    <s v="Female"/>
    <x v="1"/>
    <n v="43"/>
    <n v="4"/>
    <n v="8.6"/>
    <n v="180.6"/>
    <s v="1/31/2019"/>
    <d v="1899-12-30T20:48:00"/>
    <s v="Ewallet"/>
    <n v="172"/>
    <n v="4.7619047620000003"/>
    <n v="8.6"/>
    <n v="7.6"/>
  </r>
  <r>
    <s v="162-65-8559"/>
    <x v="1"/>
    <s v="Naypyitaw"/>
    <s v="Member"/>
    <s v="Male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</r>
  <r>
    <s v="760-27-5490"/>
    <x v="1"/>
    <s v="Naypyitaw"/>
    <s v="Normal"/>
    <s v="Male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</r>
  <r>
    <s v="445-30-9252"/>
    <x v="0"/>
    <s v="Yangon"/>
    <s v="Normal"/>
    <s v="Male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</r>
  <r>
    <s v="786-94-2700"/>
    <x v="0"/>
    <s v="Yangon"/>
    <s v="Member"/>
    <s v="Male"/>
    <x v="4"/>
    <n v="80.62"/>
    <n v="6"/>
    <n v="24.186"/>
    <n v="507.90600000000001"/>
    <s v="2/28/2019"/>
    <d v="1899-12-30T20:18:00"/>
    <s v="Cash"/>
    <n v="483.72"/>
    <n v="4.7619047620000003"/>
    <n v="24.186"/>
    <n v="9.1"/>
  </r>
  <r>
    <s v="728-88-7867"/>
    <x v="1"/>
    <s v="Naypyitaw"/>
    <s v="Member"/>
    <s v="Female"/>
    <x v="2"/>
    <n v="75.53"/>
    <n v="4"/>
    <n v="15.106"/>
    <n v="317.226"/>
    <s v="3/19/2019"/>
    <d v="1899-12-30T15:52:00"/>
    <s v="Ewallet"/>
    <n v="302.12"/>
    <n v="4.7619047620000003"/>
    <n v="15.106"/>
    <n v="8.3000000000000007"/>
  </r>
  <r>
    <s v="183-21-3799"/>
    <x v="1"/>
    <s v="Naypyitaw"/>
    <s v="Normal"/>
    <s v="Female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</r>
  <r>
    <s v="268-20-3585"/>
    <x v="1"/>
    <s v="Naypyitaw"/>
    <s v="Normal"/>
    <s v="Female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</r>
  <r>
    <s v="735-32-9839"/>
    <x v="1"/>
    <s v="Naypyitaw"/>
    <s v="Member"/>
    <s v="Male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</r>
  <r>
    <s v="258-92-7466"/>
    <x v="0"/>
    <s v="Yangon"/>
    <s v="Normal"/>
    <s v="Female"/>
    <x v="0"/>
    <n v="35.68"/>
    <n v="5"/>
    <n v="8.92"/>
    <n v="187.32"/>
    <d v="2019-06-02T00:00:00"/>
    <d v="1899-12-30T18:33:00"/>
    <s v="Credit card"/>
    <n v="178.4"/>
    <n v="4.7619047620000003"/>
    <n v="8.92"/>
    <n v="6.6"/>
  </r>
  <r>
    <s v="857-16-3520"/>
    <x v="0"/>
    <s v="Yangon"/>
    <s v="Member"/>
    <s v="Female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</r>
  <r>
    <s v="482-17-1179"/>
    <x v="0"/>
    <s v="Yangon"/>
    <s v="Member"/>
    <s v="Male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</r>
  <r>
    <s v="788-21-5741"/>
    <x v="0"/>
    <s v="Yangon"/>
    <s v="Normal"/>
    <s v="Male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</r>
  <r>
    <s v="821-14-9046"/>
    <x v="2"/>
    <s v="Mandalay"/>
    <s v="Member"/>
    <s v="Female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</r>
  <r>
    <s v="418-05-0656"/>
    <x v="2"/>
    <s v="Mandalay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</r>
  <r>
    <s v="678-79-0726"/>
    <x v="1"/>
    <s v="Naypyitaw"/>
    <s v="Member"/>
    <s v="Female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</r>
  <r>
    <s v="776-68-1096"/>
    <x v="2"/>
    <s v="Mandalay"/>
    <s v="Normal"/>
    <s v="Male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</r>
  <r>
    <s v="592-46-1692"/>
    <x v="1"/>
    <s v="Naypyitaw"/>
    <s v="Member"/>
    <s v="Female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</r>
  <r>
    <s v="434-35-9162"/>
    <x v="2"/>
    <s v="Mandalay"/>
    <s v="Member"/>
    <s v="Male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</r>
  <r>
    <s v="149-14-0304"/>
    <x v="1"/>
    <s v="Naypyitaw"/>
    <s v="Member"/>
    <s v="Female"/>
    <x v="0"/>
    <n v="28.5"/>
    <n v="8"/>
    <n v="11.4"/>
    <n v="239.4"/>
    <d v="2019-06-02T00:00:00"/>
    <d v="1899-12-30T14:24:00"/>
    <s v="Cash"/>
    <n v="228"/>
    <n v="4.7619047620000003"/>
    <n v="11.4"/>
    <n v="6.6"/>
  </r>
  <r>
    <s v="442-44-6497"/>
    <x v="1"/>
    <s v="Naypyitaw"/>
    <s v="Member"/>
    <s v="Male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</r>
  <r>
    <s v="174-64-0215"/>
    <x v="2"/>
    <s v="Mandalay"/>
    <s v="Normal"/>
    <s v="Male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</r>
  <r>
    <s v="210-74-9613"/>
    <x v="1"/>
    <s v="Naypyitaw"/>
    <s v="Normal"/>
    <s v="Male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</r>
  <r>
    <s v="299-29-0180"/>
    <x v="2"/>
    <s v="Mandalay"/>
    <s v="Member"/>
    <s v="Female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</r>
  <r>
    <s v="247-11-2470"/>
    <x v="0"/>
    <s v="Yangon"/>
    <s v="Member"/>
    <s v="Female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</r>
  <r>
    <s v="635-28-5728"/>
    <x v="0"/>
    <s v="Yangon"/>
    <s v="Normal"/>
    <s v="Male"/>
    <x v="0"/>
    <n v="56"/>
    <n v="3"/>
    <n v="8.4"/>
    <n v="176.4"/>
    <s v="2/28/2019"/>
    <d v="1899-12-30T19:33:00"/>
    <s v="Ewallet"/>
    <n v="168"/>
    <n v="4.7619047620000003"/>
    <n v="8.4"/>
    <n v="4.8"/>
  </r>
  <r>
    <s v="756-49-0168"/>
    <x v="0"/>
    <s v="Yangon"/>
    <s v="Member"/>
    <s v="Male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</r>
  <r>
    <s v="438-23-1242"/>
    <x v="2"/>
    <s v="Mandalay"/>
    <s v="Normal"/>
    <s v="Male"/>
    <x v="1"/>
    <n v="75.88"/>
    <n v="7"/>
    <n v="26.558"/>
    <n v="557.71799999999996"/>
    <s v="1/24/2019"/>
    <d v="1899-12-30T10:38:00"/>
    <s v="Ewallet"/>
    <n v="531.16"/>
    <n v="4.7619047620000003"/>
    <n v="26.558"/>
    <n v="8.9"/>
  </r>
  <r>
    <s v="238-45-6950"/>
    <x v="2"/>
    <s v="Mandalay"/>
    <s v="Member"/>
    <s v="Male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</r>
  <r>
    <s v="607-65-2441"/>
    <x v="1"/>
    <s v="Naypyitaw"/>
    <s v="Member"/>
    <s v="Male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</r>
  <r>
    <s v="386-27-7606"/>
    <x v="1"/>
    <s v="Naypyitaw"/>
    <s v="Member"/>
    <s v="Female"/>
    <x v="2"/>
    <n v="81.2"/>
    <n v="7"/>
    <n v="28.42"/>
    <n v="596.82000000000005"/>
    <s v="3/23/2019"/>
    <d v="1899-12-30T15:59:00"/>
    <s v="Credit card"/>
    <n v="568.4"/>
    <n v="4.7619047620000003"/>
    <n v="28.42"/>
    <n v="8.1"/>
  </r>
  <r>
    <s v="137-63-5492"/>
    <x v="1"/>
    <s v="Naypyitaw"/>
    <s v="Normal"/>
    <s v="Male"/>
    <x v="1"/>
    <n v="58.76"/>
    <n v="10"/>
    <n v="29.38"/>
    <n v="616.98"/>
    <s v="1/29/2019"/>
    <d v="1899-12-30T14:26:00"/>
    <s v="Ewallet"/>
    <n v="587.6"/>
    <n v="4.7619047620000003"/>
    <n v="29.38"/>
    <n v="9"/>
  </r>
  <r>
    <s v="197-77-7132"/>
    <x v="2"/>
    <s v="Mandalay"/>
    <s v="Member"/>
    <s v="Male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</r>
  <r>
    <s v="805-86-0265"/>
    <x v="0"/>
    <s v="Yangon"/>
    <s v="Normal"/>
    <s v="Male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</r>
  <r>
    <s v="733-29-1227"/>
    <x v="1"/>
    <s v="Naypyitaw"/>
    <s v="Normal"/>
    <s v="Male"/>
    <x v="2"/>
    <n v="55.61"/>
    <n v="7"/>
    <n v="19.4635"/>
    <n v="408.73349999999999"/>
    <s v="3/23/2019"/>
    <d v="1899-12-30T12:41:00"/>
    <s v="Cash"/>
    <n v="389.27"/>
    <n v="4.7619047620000003"/>
    <n v="19.4635"/>
    <n v="8.5"/>
  </r>
  <r>
    <s v="451-73-2711"/>
    <x v="1"/>
    <s v="Naypyitaw"/>
    <s v="Normal"/>
    <s v="Male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</r>
  <r>
    <s v="373-14-0504"/>
    <x v="0"/>
    <s v="Yangon"/>
    <s v="Member"/>
    <s v="Female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</r>
  <r>
    <s v="546-80-2899"/>
    <x v="0"/>
    <s v="Yangon"/>
    <s v="Member"/>
    <s v="Male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</r>
  <r>
    <s v="345-68-9016"/>
    <x v="1"/>
    <s v="Naypyitaw"/>
    <s v="Member"/>
    <s v="Female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</r>
  <r>
    <s v="390-17-5806"/>
    <x v="1"/>
    <s v="Naypyitaw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</r>
  <r>
    <s v="457-13-1708"/>
    <x v="2"/>
    <s v="Mandalay"/>
    <s v="Member"/>
    <s v="Male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</r>
  <r>
    <s v="664-14-2882"/>
    <x v="1"/>
    <s v="Naypyitaw"/>
    <s v="Member"/>
    <s v="Female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</r>
  <r>
    <s v="487-79-6868"/>
    <x v="2"/>
    <s v="Mandalay"/>
    <s v="Member"/>
    <s v="Female"/>
    <x v="2"/>
    <n v="12.29"/>
    <n v="9"/>
    <n v="5.5305"/>
    <n v="116.1405"/>
    <s v="3/26/2019"/>
    <d v="1899-12-30T19:28:00"/>
    <s v="Credit card"/>
    <n v="110.61"/>
    <n v="4.7619047620000003"/>
    <n v="5.5305"/>
    <n v="8"/>
  </r>
  <r>
    <s v="314-23-4520"/>
    <x v="1"/>
    <s v="Naypyitaw"/>
    <s v="Member"/>
    <s v="Male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</r>
  <r>
    <s v="210-30-7976"/>
    <x v="2"/>
    <s v="Mandalay"/>
    <s v="Member"/>
    <s v="Female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</r>
  <r>
    <s v="585-86-8361"/>
    <x v="0"/>
    <s v="Yangon"/>
    <s v="Normal"/>
    <s v="Female"/>
    <x v="4"/>
    <n v="27.28"/>
    <n v="5"/>
    <n v="6.82"/>
    <n v="143.22"/>
    <d v="2019-03-02T00:00:00"/>
    <d v="1899-12-30T10:31:00"/>
    <s v="Credit card"/>
    <n v="136.4"/>
    <n v="4.7619047620000003"/>
    <n v="6.82"/>
    <n v="8.6"/>
  </r>
  <r>
    <s v="807-14-7833"/>
    <x v="0"/>
    <s v="Yangon"/>
    <s v="Member"/>
    <s v="Female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</r>
  <r>
    <s v="775-72-1988"/>
    <x v="2"/>
    <s v="Mandalay"/>
    <s v="Normal"/>
    <s v="Male"/>
    <x v="2"/>
    <n v="73.28"/>
    <n v="5"/>
    <n v="18.32"/>
    <n v="384.72"/>
    <s v="1/24/2019"/>
    <d v="1899-12-30T15:05:00"/>
    <s v="Ewallet"/>
    <n v="366.4"/>
    <n v="4.7619047620000003"/>
    <n v="18.32"/>
    <n v="8.4"/>
  </r>
  <r>
    <s v="288-38-3758"/>
    <x v="1"/>
    <s v="Naypyitaw"/>
    <s v="Member"/>
    <s v="Female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</r>
  <r>
    <s v="652-43-6591"/>
    <x v="0"/>
    <s v="Yangon"/>
    <s v="Normal"/>
    <s v="Female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</r>
  <r>
    <s v="785-96-0615"/>
    <x v="2"/>
    <s v="Mandalay"/>
    <s v="Member"/>
    <s v="Female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</r>
  <r>
    <s v="406-46-7107"/>
    <x v="0"/>
    <s v="Yangon"/>
    <s v="Normal"/>
    <s v="Female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</r>
  <r>
    <s v="250-17-5703"/>
    <x v="0"/>
    <s v="Yangon"/>
    <s v="Member"/>
    <s v="Male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</r>
  <r>
    <s v="156-95-3964"/>
    <x v="0"/>
    <s v="Yangon"/>
    <s v="Normal"/>
    <s v="Female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</r>
  <r>
    <s v="842-40-8179"/>
    <x v="2"/>
    <s v="Mandalay"/>
    <s v="Member"/>
    <s v="Female"/>
    <x v="4"/>
    <n v="77.2"/>
    <n v="10"/>
    <n v="38.6"/>
    <n v="810.6"/>
    <d v="2019-11-02T00:00:00"/>
    <d v="1899-12-30T10:38:00"/>
    <s v="Credit card"/>
    <n v="772"/>
    <n v="4.7619047620000003"/>
    <n v="38.6"/>
    <n v="5.6"/>
  </r>
  <r>
    <s v="525-09-8450"/>
    <x v="2"/>
    <s v="Mandalay"/>
    <s v="Normal"/>
    <s v="Male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</r>
  <r>
    <s v="410-67-1709"/>
    <x v="0"/>
    <s v="Yangon"/>
    <s v="Member"/>
    <s v="Female"/>
    <x v="5"/>
    <n v="63.88"/>
    <n v="8"/>
    <n v="25.552"/>
    <n v="536.59199999999998"/>
    <s v="1/20/2019"/>
    <d v="1899-12-30T17:48:00"/>
    <s v="Ewallet"/>
    <n v="511.04"/>
    <n v="4.7619047620000003"/>
    <n v="25.552"/>
    <n v="9.9"/>
  </r>
  <r>
    <s v="587-73-4862"/>
    <x v="0"/>
    <s v="Yangon"/>
    <s v="Member"/>
    <s v="Female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</r>
  <r>
    <s v="787-87-2010"/>
    <x v="0"/>
    <s v="Yangon"/>
    <s v="Member"/>
    <s v="Male"/>
    <x v="0"/>
    <n v="55.5"/>
    <n v="4"/>
    <n v="11.1"/>
    <n v="233.1"/>
    <s v="1/20/2019"/>
    <d v="1899-12-30T15:48:00"/>
    <s v="Credit card"/>
    <n v="222"/>
    <n v="4.7619047620000003"/>
    <n v="11.1"/>
    <n v="6.6"/>
  </r>
  <r>
    <s v="593-14-4239"/>
    <x v="2"/>
    <s v="Mandalay"/>
    <s v="Normal"/>
    <s v="Female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</r>
  <r>
    <s v="801-88-0346"/>
    <x v="1"/>
    <s v="Naypyitaw"/>
    <s v="Normal"/>
    <s v="Female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</r>
  <r>
    <s v="388-76-2555"/>
    <x v="2"/>
    <s v="Mandalay"/>
    <s v="Normal"/>
    <s v="Male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</r>
  <r>
    <s v="711-31-1234"/>
    <x v="2"/>
    <s v="Mandalay"/>
    <s v="Normal"/>
    <s v="Female"/>
    <x v="1"/>
    <n v="95.64"/>
    <n v="4"/>
    <n v="19.128"/>
    <n v="401.68799999999999"/>
    <s v="3/16/2019"/>
    <d v="1899-12-30T18:51:00"/>
    <s v="Cash"/>
    <n v="382.56"/>
    <n v="4.7619047620000003"/>
    <n v="19.128"/>
    <n v="7.9"/>
  </r>
  <r>
    <s v="886-54-6089"/>
    <x v="0"/>
    <s v="Yangon"/>
    <s v="Normal"/>
    <s v="Female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</r>
  <r>
    <s v="707-32-7409"/>
    <x v="2"/>
    <s v="Mandalay"/>
    <s v="Member"/>
    <s v="Female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</r>
  <r>
    <s v="759-98-4285"/>
    <x v="1"/>
    <s v="Naypyitaw"/>
    <s v="Member"/>
    <s v="Female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</r>
  <r>
    <s v="201-63-8275"/>
    <x v="1"/>
    <s v="Naypyitaw"/>
    <s v="Member"/>
    <s v="Female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</r>
  <r>
    <s v="471-06-8611"/>
    <x v="1"/>
    <s v="Naypyitaw"/>
    <s v="Normal"/>
    <s v="Female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</r>
  <r>
    <s v="200-16-5952"/>
    <x v="1"/>
    <s v="Naypyitaw"/>
    <s v="Member"/>
    <s v="Male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</r>
  <r>
    <s v="120-54-2248"/>
    <x v="2"/>
    <s v="Mandalay"/>
    <s v="Normal"/>
    <s v="Female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</r>
  <r>
    <s v="102-77-2261"/>
    <x v="1"/>
    <s v="Naypyitaw"/>
    <s v="Member"/>
    <s v="Male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</r>
  <r>
    <s v="875-31-8302"/>
    <x v="2"/>
    <s v="Mandalay"/>
    <s v="Normal"/>
    <s v="Male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</r>
  <r>
    <s v="102-06-2002"/>
    <x v="1"/>
    <s v="Naypyitaw"/>
    <s v="Member"/>
    <s v="Male"/>
    <x v="3"/>
    <n v="25.25"/>
    <n v="5"/>
    <n v="6.3125"/>
    <n v="132.5625"/>
    <s v="3/20/2019"/>
    <d v="1899-12-30T17:52:00"/>
    <s v="Cash"/>
    <n v="126.25"/>
    <n v="4.7619047620000003"/>
    <n v="6.3125"/>
    <n v="6.1"/>
  </r>
  <r>
    <s v="457-94-0464"/>
    <x v="2"/>
    <s v="Mandalay"/>
    <s v="Member"/>
    <s v="Male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</r>
  <r>
    <s v="629-42-4133"/>
    <x v="1"/>
    <s v="Naypyitaw"/>
    <s v="Normal"/>
    <s v="Male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</r>
  <r>
    <s v="534-53-3526"/>
    <x v="0"/>
    <s v="Yangon"/>
    <s v="Normal"/>
    <s v="Female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</r>
  <r>
    <s v="307-04-2070"/>
    <x v="0"/>
    <s v="Yangon"/>
    <s v="Member"/>
    <s v="Female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</r>
  <r>
    <s v="468-99-7231"/>
    <x v="1"/>
    <s v="Naypyitaw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</r>
  <r>
    <s v="516-77-6464"/>
    <x v="1"/>
    <s v="Naypyitaw"/>
    <s v="Member"/>
    <s v="Female"/>
    <x v="0"/>
    <n v="10.16"/>
    <n v="5"/>
    <n v="2.54"/>
    <n v="53.34"/>
    <s v="2/24/2019"/>
    <d v="1899-12-30T13:08:00"/>
    <s v="Ewallet"/>
    <n v="50.8"/>
    <n v="4.7619047620000003"/>
    <n v="2.54"/>
    <n v="4.0999999999999996"/>
  </r>
  <r>
    <s v="404-91-5964"/>
    <x v="0"/>
    <s v="Yangon"/>
    <s v="Normal"/>
    <s v="Male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</r>
  <r>
    <s v="886-77-9084"/>
    <x v="1"/>
    <s v="Naypyitaw"/>
    <s v="Normal"/>
    <s v="Male"/>
    <x v="1"/>
    <n v="71.89"/>
    <n v="8"/>
    <n v="28.756"/>
    <n v="603.87599999999998"/>
    <s v="2/19/2019"/>
    <d v="1899-12-30T11:33:00"/>
    <s v="Ewallet"/>
    <n v="575.12"/>
    <n v="4.7619047620000003"/>
    <n v="28.756"/>
    <n v="5.5"/>
  </r>
  <r>
    <s v="790-38-4466"/>
    <x v="1"/>
    <s v="Naypyitaw"/>
    <s v="Normal"/>
    <s v="Female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</r>
  <r>
    <s v="704-10-4056"/>
    <x v="1"/>
    <s v="Naypyitaw"/>
    <s v="Member"/>
    <s v="Male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</r>
  <r>
    <s v="497-37-6538"/>
    <x v="0"/>
    <s v="Yangon"/>
    <s v="Normal"/>
    <s v="Male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</r>
  <r>
    <s v="651-96-5970"/>
    <x v="0"/>
    <s v="Yangon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</r>
  <r>
    <s v="400-80-4065"/>
    <x v="1"/>
    <s v="Naypyitaw"/>
    <s v="Member"/>
    <s v="Male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</r>
  <r>
    <s v="744-16-7898"/>
    <x v="2"/>
    <s v="Mandalay"/>
    <s v="Normal"/>
    <s v="Female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</r>
  <r>
    <s v="263-12-5321"/>
    <x v="0"/>
    <s v="Yangon"/>
    <s v="Member"/>
    <s v="Male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</r>
  <r>
    <s v="702-72-0487"/>
    <x v="0"/>
    <s v="Yangon"/>
    <s v="Normal"/>
    <s v="Female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</r>
  <r>
    <s v="605-83-1050"/>
    <x v="2"/>
    <s v="Mandalay"/>
    <s v="Normal"/>
    <s v="Male"/>
    <x v="5"/>
    <n v="27.18"/>
    <n v="2"/>
    <n v="2.718"/>
    <n v="57.078000000000003"/>
    <s v="3/15/2019"/>
    <d v="1899-12-30T16:26:00"/>
    <s v="Ewallet"/>
    <n v="54.36"/>
    <n v="4.7619047620000003"/>
    <n v="2.718"/>
    <n v="4.3"/>
  </r>
  <r>
    <s v="443-60-9639"/>
    <x v="1"/>
    <s v="Naypyitaw"/>
    <s v="Member"/>
    <s v="Female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</r>
  <r>
    <s v="864-24-7918"/>
    <x v="0"/>
    <s v="Yangon"/>
    <s v="Member"/>
    <s v="Female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</r>
  <r>
    <s v="359-94-5395"/>
    <x v="2"/>
    <s v="Mandalay"/>
    <s v="Normal"/>
    <s v="Male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</r>
  <r>
    <s v="401-09-4232"/>
    <x v="1"/>
    <s v="Naypyitaw"/>
    <s v="Member"/>
    <s v="Male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</r>
  <r>
    <s v="751-15-6198"/>
    <x v="2"/>
    <s v="Mandalay"/>
    <s v="Normal"/>
    <s v="Male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</r>
  <r>
    <s v="324-41-6833"/>
    <x v="1"/>
    <s v="Naypyitaw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</r>
  <r>
    <s v="474-33-8305"/>
    <x v="1"/>
    <s v="Naypyitaw"/>
    <s v="Member"/>
    <s v="Male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</r>
  <r>
    <s v="759-29-9521"/>
    <x v="0"/>
    <s v="Yangon"/>
    <s v="Member"/>
    <s v="Female"/>
    <x v="5"/>
    <n v="48.96"/>
    <n v="9"/>
    <n v="22.032"/>
    <n v="462.67200000000003"/>
    <d v="2019-04-03T00:00:00"/>
    <d v="1899-12-30T11:27:00"/>
    <s v="Cash"/>
    <n v="440.64"/>
    <n v="4.7619047620000003"/>
    <n v="22.032"/>
    <n v="8"/>
  </r>
  <r>
    <s v="831-81-6575"/>
    <x v="2"/>
    <s v="Mandalay"/>
    <s v="Member"/>
    <s v="Female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</r>
  <r>
    <s v="220-68-6701"/>
    <x v="0"/>
    <s v="Yangon"/>
    <s v="Normal"/>
    <s v="Female"/>
    <x v="2"/>
    <n v="77.47"/>
    <n v="4"/>
    <n v="15.494"/>
    <n v="325.37400000000002"/>
    <s v="3/17/2019"/>
    <d v="1899-12-30T16:36:00"/>
    <s v="Cash"/>
    <n v="309.88"/>
    <n v="4.7619047620000003"/>
    <n v="15.494"/>
    <n v="4.2"/>
  </r>
  <r>
    <s v="618-34-8551"/>
    <x v="0"/>
    <s v="Yangon"/>
    <s v="Normal"/>
    <s v="Female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</r>
  <r>
    <s v="257-60-7754"/>
    <x v="0"/>
    <s v="Yangon"/>
    <s v="Normal"/>
    <s v="Female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</r>
  <r>
    <s v="559-61-5987"/>
    <x v="2"/>
    <s v="Mandalay"/>
    <s v="Normal"/>
    <s v="Female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</r>
  <r>
    <s v="189-55-2313"/>
    <x v="1"/>
    <s v="Naypyitaw"/>
    <s v="Normal"/>
    <s v="Female"/>
    <x v="5"/>
    <n v="62.18"/>
    <n v="10"/>
    <n v="31.09"/>
    <n v="652.89"/>
    <s v="1/31/2019"/>
    <d v="1899-12-30T10:33:00"/>
    <s v="Ewallet"/>
    <n v="621.79999999999995"/>
    <n v="4.7619047620000003"/>
    <n v="31.09"/>
    <n v="6"/>
  </r>
  <r>
    <s v="565-91-4567"/>
    <x v="2"/>
    <s v="Mandalay"/>
    <s v="Normal"/>
    <s v="Male"/>
    <x v="0"/>
    <n v="10.75"/>
    <n v="8"/>
    <n v="4.3"/>
    <n v="90.3"/>
    <s v="3/15/2019"/>
    <d v="1899-12-30T14:38:00"/>
    <s v="Ewallet"/>
    <n v="86"/>
    <n v="4.7619047620000003"/>
    <n v="4.3"/>
    <n v="6.2"/>
  </r>
  <r>
    <s v="380-60-5336"/>
    <x v="0"/>
    <s v="Yangon"/>
    <s v="Normal"/>
    <s v="Female"/>
    <x v="1"/>
    <n v="40.26"/>
    <n v="10"/>
    <n v="20.13"/>
    <n v="422.73"/>
    <s v="2/24/2019"/>
    <d v="1899-12-30T18:06:00"/>
    <s v="Credit card"/>
    <n v="402.6"/>
    <n v="4.7619047620000003"/>
    <n v="20.13"/>
    <n v="5"/>
  </r>
  <r>
    <s v="815-04-6282"/>
    <x v="1"/>
    <s v="Naypyitaw"/>
    <s v="Member"/>
    <s v="Female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</r>
  <r>
    <s v="674-56-6360"/>
    <x v="0"/>
    <s v="Yangon"/>
    <s v="Normal"/>
    <s v="Male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</r>
  <r>
    <s v="778-34-2523"/>
    <x v="0"/>
    <s v="Yangon"/>
    <s v="Member"/>
    <s v="Female"/>
    <x v="1"/>
    <n v="48.62"/>
    <n v="8"/>
    <n v="19.448"/>
    <n v="408.40800000000002"/>
    <s v="1/24/2019"/>
    <d v="1899-12-30T10:57:00"/>
    <s v="Cash"/>
    <n v="388.96"/>
    <n v="4.7619047620000003"/>
    <n v="19.448"/>
    <n v="5"/>
  </r>
  <r>
    <s v="499-27-7781"/>
    <x v="2"/>
    <s v="Mandalay"/>
    <s v="Normal"/>
    <s v="Female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</r>
  <r>
    <s v="477-59-2456"/>
    <x v="1"/>
    <s v="Naypyitaw"/>
    <s v="Normal"/>
    <s v="Female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</r>
  <r>
    <s v="832-51-6761"/>
    <x v="0"/>
    <s v="Yangon"/>
    <s v="Normal"/>
    <s v="Male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</r>
  <r>
    <s v="869-11-3082"/>
    <x v="2"/>
    <s v="Mandalay"/>
    <s v="Member"/>
    <s v="Male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</r>
  <r>
    <s v="190-59-3964"/>
    <x v="2"/>
    <s v="Mandalay"/>
    <s v="Member"/>
    <s v="Male"/>
    <x v="4"/>
    <n v="47.16"/>
    <n v="5"/>
    <n v="11.79"/>
    <n v="247.59"/>
    <d v="2019-03-02T00:00:00"/>
    <d v="1899-12-30T14:35:00"/>
    <s v="Credit card"/>
    <n v="235.8"/>
    <n v="4.7619047620000003"/>
    <n v="11.79"/>
    <n v="6"/>
  </r>
  <r>
    <s v="366-43-6862"/>
    <x v="2"/>
    <s v="Mandalay"/>
    <s v="Normal"/>
    <s v="Male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</r>
  <r>
    <s v="186-43-8965"/>
    <x v="0"/>
    <s v="Yangon"/>
    <s v="Member"/>
    <s v="Female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</r>
  <r>
    <s v="784-21-9238"/>
    <x v="1"/>
    <s v="Naypyitaw"/>
    <s v="Member"/>
    <s v="Male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</r>
  <r>
    <s v="276-75-6884"/>
    <x v="0"/>
    <s v="Yangon"/>
    <s v="Normal"/>
    <s v="Female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</r>
  <r>
    <s v="109-86-4363"/>
    <x v="2"/>
    <s v="Mandalay"/>
    <s v="Member"/>
    <s v="Female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</r>
  <r>
    <s v="569-76-2760"/>
    <x v="0"/>
    <s v="Yangon"/>
    <s v="Member"/>
    <s v="Female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</r>
  <r>
    <s v="222-42-0244"/>
    <x v="2"/>
    <s v="Mandalay"/>
    <s v="Member"/>
    <s v="Female"/>
    <x v="0"/>
    <n v="72.11"/>
    <n v="9"/>
    <n v="32.4495"/>
    <n v="681.43949999999995"/>
    <s v="1/28/2019"/>
    <d v="1899-12-30T13:53:00"/>
    <s v="Credit card"/>
    <n v="648.99"/>
    <n v="4.7619047620000003"/>
    <n v="32.4495"/>
    <n v="7.7"/>
  </r>
  <r>
    <s v="760-53-9233"/>
    <x v="0"/>
    <s v="Yangon"/>
    <s v="Member"/>
    <s v="Male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</r>
  <r>
    <s v="538-22-0304"/>
    <x v="1"/>
    <s v="Naypyitaw"/>
    <s v="Normal"/>
    <s v="Male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</r>
  <r>
    <s v="416-17-9926"/>
    <x v="0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</r>
  <r>
    <s v="237-44-6163"/>
    <x v="0"/>
    <s v="Yangon"/>
    <s v="Normal"/>
    <s v="Male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</r>
  <r>
    <s v="636-17-0325"/>
    <x v="2"/>
    <s v="Mandalay"/>
    <s v="Normal"/>
    <s v="Male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</r>
  <r>
    <s v="343-75-9322"/>
    <x v="2"/>
    <s v="Mandalay"/>
    <s v="Member"/>
    <s v="Female"/>
    <x v="3"/>
    <n v="11.85"/>
    <n v="8"/>
    <n v="4.74"/>
    <n v="99.54"/>
    <d v="2019-09-01T00:00:00"/>
    <d v="1899-12-30T16:34:00"/>
    <s v="Cash"/>
    <n v="94.8"/>
    <n v="4.7619047620000003"/>
    <n v="4.74"/>
    <n v="4.0999999999999996"/>
  </r>
  <r>
    <s v="528-14-9470"/>
    <x v="0"/>
    <s v="Yangon"/>
    <s v="Member"/>
    <s v="Male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</r>
  <r>
    <s v="427-45-9297"/>
    <x v="2"/>
    <s v="Mandalay"/>
    <s v="Member"/>
    <s v="Female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</r>
  <r>
    <s v="807-34-3742"/>
    <x v="0"/>
    <s v="Yangon"/>
    <s v="Normal"/>
    <s v="Male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</r>
  <r>
    <s v="288-62-1085"/>
    <x v="0"/>
    <s v="Yangon"/>
    <s v="Member"/>
    <s v="Male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</r>
  <r>
    <s v="670-71-7306"/>
    <x v="2"/>
    <s v="Mandalay"/>
    <s v="Normal"/>
    <s v="Male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</r>
  <r>
    <s v="660-29-7083"/>
    <x v="1"/>
    <s v="Naypyitaw"/>
    <s v="Normal"/>
    <s v="Male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</r>
  <r>
    <s v="271-77-8740"/>
    <x v="1"/>
    <s v="Naypyitaw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</r>
  <r>
    <s v="497-36-0989"/>
    <x v="0"/>
    <s v="Yangon"/>
    <s v="Normal"/>
    <s v="Male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</r>
  <r>
    <s v="291-59-1384"/>
    <x v="2"/>
    <s v="Mandalay"/>
    <s v="Normal"/>
    <s v="Male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</r>
  <r>
    <s v="860-73-6466"/>
    <x v="0"/>
    <s v="Yangon"/>
    <s v="Member"/>
    <s v="Female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</r>
  <r>
    <s v="549-23-9016"/>
    <x v="1"/>
    <s v="Naypyitaw"/>
    <s v="Member"/>
    <s v="Female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</r>
  <r>
    <s v="896-34-0956"/>
    <x v="0"/>
    <s v="Yangon"/>
    <s v="Normal"/>
    <s v="Male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</r>
  <r>
    <s v="804-38-3935"/>
    <x v="0"/>
    <s v="Yangon"/>
    <s v="Member"/>
    <s v="Male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</r>
  <r>
    <s v="585-90-0249"/>
    <x v="0"/>
    <s v="Yangon"/>
    <s v="Member"/>
    <s v="Male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</r>
  <r>
    <s v="862-29-5914"/>
    <x v="1"/>
    <s v="Naypyitaw"/>
    <s v="Normal"/>
    <s v="Female"/>
    <x v="3"/>
    <n v="22.38"/>
    <n v="1"/>
    <n v="1.119"/>
    <n v="23.498999999999999"/>
    <s v="1/30/2019"/>
    <d v="1899-12-30T17:08:00"/>
    <s v="Credit card"/>
    <n v="22.38"/>
    <n v="4.7619047620000003"/>
    <n v="1.119"/>
    <n v="8.6"/>
  </r>
  <r>
    <s v="845-94-6841"/>
    <x v="1"/>
    <s v="Naypyitaw"/>
    <s v="Member"/>
    <s v="Female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</r>
  <r>
    <s v="125-45-2293"/>
    <x v="0"/>
    <s v="Yangon"/>
    <s v="Normal"/>
    <s v="Female"/>
    <x v="5"/>
    <n v="99.1"/>
    <n v="6"/>
    <n v="29.73"/>
    <n v="624.33000000000004"/>
    <s v="1/19/2019"/>
    <d v="1899-12-30T13:11:00"/>
    <s v="Cash"/>
    <n v="594.6"/>
    <n v="4.7619047620000003"/>
    <n v="29.73"/>
    <n v="4.2"/>
  </r>
  <r>
    <s v="843-73-4724"/>
    <x v="0"/>
    <s v="Yangon"/>
    <s v="Normal"/>
    <s v="Male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</r>
  <r>
    <s v="409-33-9708"/>
    <x v="0"/>
    <s v="Yangon"/>
    <s v="Normal"/>
    <s v="Female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</r>
  <r>
    <s v="658-66-3967"/>
    <x v="1"/>
    <s v="Naypyitaw"/>
    <s v="Normal"/>
    <s v="Male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</r>
  <r>
    <s v="866-70-2814"/>
    <x v="2"/>
    <s v="Mandalay"/>
    <s v="Normal"/>
    <s v="Female"/>
    <x v="1"/>
    <n v="52.79"/>
    <n v="10"/>
    <n v="26.395"/>
    <n v="554.29499999999996"/>
    <s v="2/25/2019"/>
    <d v="1899-12-30T11:58:00"/>
    <s v="Ewallet"/>
    <n v="527.9"/>
    <n v="4.7619047620000003"/>
    <n v="26.395"/>
    <n v="10"/>
  </r>
  <r>
    <s v="160-22-2687"/>
    <x v="0"/>
    <s v="Yangon"/>
    <s v="Member"/>
    <s v="Female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</r>
  <r>
    <s v="895-03-6665"/>
    <x v="2"/>
    <s v="Mandalay"/>
    <s v="Normal"/>
    <s v="Female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</r>
  <r>
    <s v="770-42-8960"/>
    <x v="2"/>
    <s v="Mandalay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</r>
  <r>
    <s v="748-45-2862"/>
    <x v="0"/>
    <s v="Yangon"/>
    <s v="Member"/>
    <s v="Female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</r>
  <r>
    <s v="234-36-2483"/>
    <x v="2"/>
    <s v="Mandalay"/>
    <s v="Normal"/>
    <s v="Male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</r>
  <r>
    <s v="316-66-3011"/>
    <x v="0"/>
    <s v="Yangon"/>
    <s v="Member"/>
    <s v="Female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</r>
  <r>
    <s v="848-95-6252"/>
    <x v="1"/>
    <s v="Naypyitaw"/>
    <s v="Member"/>
    <s v="Female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</r>
  <r>
    <s v="840-76-5966"/>
    <x v="0"/>
    <s v="Yangon"/>
    <s v="Member"/>
    <s v="Male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</r>
  <r>
    <s v="152-03-4217"/>
    <x v="2"/>
    <s v="Mandalay"/>
    <s v="Normal"/>
    <s v="Female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</r>
  <r>
    <s v="533-66-5566"/>
    <x v="2"/>
    <s v="Mandalay"/>
    <s v="Normal"/>
    <s v="Female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</r>
  <r>
    <s v="124-31-1458"/>
    <x v="0"/>
    <s v="Yangon"/>
    <s v="Member"/>
    <s v="Female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</r>
  <r>
    <s v="176-78-1170"/>
    <x v="1"/>
    <s v="Naypyitaw"/>
    <s v="Member"/>
    <s v="Male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</r>
  <r>
    <s v="361-59-0574"/>
    <x v="2"/>
    <s v="Mandalay"/>
    <s v="Member"/>
    <s v="Male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</r>
  <r>
    <s v="101-81-4070"/>
    <x v="1"/>
    <s v="Naypyitaw"/>
    <s v="Member"/>
    <s v="Female"/>
    <x v="0"/>
    <n v="62.82"/>
    <n v="2"/>
    <n v="6.282"/>
    <n v="131.922"/>
    <s v="1/17/2019"/>
    <d v="1899-12-30T12:36:00"/>
    <s v="Ewallet"/>
    <n v="125.64"/>
    <n v="4.7619047620000003"/>
    <n v="6.282"/>
    <n v="4.9000000000000004"/>
  </r>
  <r>
    <s v="631-34-1880"/>
    <x v="1"/>
    <s v="Naypyitaw"/>
    <s v="Member"/>
    <s v="Male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</r>
  <r>
    <s v="852-82-2749"/>
    <x v="0"/>
    <s v="Yangon"/>
    <s v="Normal"/>
    <s v="Male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</r>
  <r>
    <s v="873-14-6353"/>
    <x v="0"/>
    <s v="Yangon"/>
    <s v="Member"/>
    <s v="Male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</r>
  <r>
    <s v="584-66-4073"/>
    <x v="1"/>
    <s v="Naypyitaw"/>
    <s v="Normal"/>
    <s v="Male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</r>
  <r>
    <s v="544-55-9589"/>
    <x v="2"/>
    <s v="Mandalay"/>
    <s v="Member"/>
    <s v="Female"/>
    <x v="1"/>
    <n v="21.43"/>
    <n v="10"/>
    <n v="10.715"/>
    <n v="225.01499999999999"/>
    <s v="1/28/2019"/>
    <d v="1899-12-30T11:51:00"/>
    <s v="Cash"/>
    <n v="214.3"/>
    <n v="4.7619047620000003"/>
    <n v="10.715"/>
    <n v="6.2"/>
  </r>
  <r>
    <s v="166-19-2553"/>
    <x v="0"/>
    <s v="Yangon"/>
    <s v="Member"/>
    <s v="Male"/>
    <x v="3"/>
    <n v="89.06"/>
    <n v="6"/>
    <n v="26.718"/>
    <n v="561.07799999999997"/>
    <s v="1/18/2019"/>
    <d v="1899-12-30T17:26:00"/>
    <s v="Cash"/>
    <n v="534.36"/>
    <n v="4.7619047620000003"/>
    <n v="26.718"/>
    <n v="9.9"/>
  </r>
  <r>
    <s v="737-88-5876"/>
    <x v="0"/>
    <s v="Yangon"/>
    <s v="Member"/>
    <s v="Male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</r>
  <r>
    <s v="154-87-7367"/>
    <x v="1"/>
    <s v="Naypyitaw"/>
    <s v="Normal"/>
    <s v="Male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</r>
  <r>
    <s v="885-56-0389"/>
    <x v="1"/>
    <s v="Naypyitaw"/>
    <s v="Member"/>
    <s v="Male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</r>
  <r>
    <s v="608-05-3804"/>
    <x v="2"/>
    <s v="Mandalay"/>
    <s v="Member"/>
    <s v="Male"/>
    <x v="1"/>
    <n v="39.75"/>
    <n v="1"/>
    <n v="1.9875"/>
    <n v="41.737499999999997"/>
    <s v="2/25/2019"/>
    <d v="1899-12-30T20:19:00"/>
    <s v="Cash"/>
    <n v="39.75"/>
    <n v="4.7619047620000003"/>
    <n v="1.9875"/>
    <n v="6.1"/>
  </r>
  <r>
    <s v="448-61-3783"/>
    <x v="0"/>
    <s v="Yangon"/>
    <s v="Normal"/>
    <s v="Female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</r>
  <r>
    <s v="761-49-0439"/>
    <x v="2"/>
    <s v="Mandalay"/>
    <s v="Member"/>
    <s v="Female"/>
    <x v="1"/>
    <n v="12.1"/>
    <n v="8"/>
    <n v="4.84"/>
    <n v="101.64"/>
    <s v="1/19/2019"/>
    <d v="1899-12-30T10:17:00"/>
    <s v="Ewallet"/>
    <n v="96.8"/>
    <n v="4.7619047620000003"/>
    <n v="4.84"/>
    <n v="8.6"/>
  </r>
  <r>
    <s v="490-95-0021"/>
    <x v="2"/>
    <s v="Mandalay"/>
    <s v="Member"/>
    <s v="Female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</r>
  <r>
    <s v="115-38-7388"/>
    <x v="1"/>
    <s v="Naypyitaw"/>
    <s v="Member"/>
    <s v="Female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</r>
  <r>
    <s v="311-13-6971"/>
    <x v="2"/>
    <s v="Mandalay"/>
    <s v="Member"/>
    <s v="Male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</r>
  <r>
    <s v="291-55-6563"/>
    <x v="0"/>
    <s v="Yangon"/>
    <s v="Member"/>
    <s v="Female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</r>
  <r>
    <s v="548-48-3156"/>
    <x v="0"/>
    <s v="Yangon"/>
    <s v="Member"/>
    <s v="Female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</r>
  <r>
    <s v="460-93-5834"/>
    <x v="0"/>
    <s v="Yangon"/>
    <s v="Normal"/>
    <s v="Male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</r>
  <r>
    <s v="325-89-4209"/>
    <x v="0"/>
    <s v="Yangon"/>
    <s v="Member"/>
    <s v="Male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</r>
  <r>
    <s v="884-80-6021"/>
    <x v="0"/>
    <s v="Yangon"/>
    <s v="Member"/>
    <s v="Female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</r>
  <r>
    <s v="137-74-8729"/>
    <x v="1"/>
    <s v="Naypyitaw"/>
    <s v="Normal"/>
    <s v="Female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</r>
  <r>
    <s v="880-46-5796"/>
    <x v="0"/>
    <s v="Yangon"/>
    <s v="Member"/>
    <s v="Male"/>
    <x v="3"/>
    <n v="76.92"/>
    <n v="10"/>
    <n v="38.46"/>
    <n v="807.66"/>
    <s v="3/17/2019"/>
    <d v="1899-12-30T19:53:00"/>
    <s v="Ewallet"/>
    <n v="769.2"/>
    <n v="4.7619047620000003"/>
    <n v="38.46"/>
    <n v="5.6"/>
  </r>
  <r>
    <s v="389-70-2397"/>
    <x v="1"/>
    <s v="Naypyitaw"/>
    <s v="Normal"/>
    <s v="Female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</r>
  <r>
    <s v="114-35-5271"/>
    <x v="2"/>
    <s v="Mandalay"/>
    <s v="Normal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</r>
  <r>
    <s v="607-76-6216"/>
    <x v="1"/>
    <s v="Naypyitaw"/>
    <s v="Member"/>
    <s v="Female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</r>
  <r>
    <s v="715-20-1673"/>
    <x v="2"/>
    <s v="Mandalay"/>
    <s v="Normal"/>
    <s v="Male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</r>
  <r>
    <s v="811-35-1094"/>
    <x v="2"/>
    <s v="Mandalay"/>
    <s v="Member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</r>
  <r>
    <s v="699-88-1972"/>
    <x v="2"/>
    <s v="Mandalay"/>
    <s v="Normal"/>
    <s v="Male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</r>
  <r>
    <s v="781-84-8059"/>
    <x v="1"/>
    <s v="Naypyitaw"/>
    <s v="Normal"/>
    <s v="Male"/>
    <x v="5"/>
    <n v="60.74"/>
    <n v="7"/>
    <n v="21.259"/>
    <n v="446.43900000000002"/>
    <s v="1/18/2019"/>
    <d v="1899-12-30T16:23:00"/>
    <s v="Ewallet"/>
    <n v="425.18"/>
    <n v="4.7619047620000003"/>
    <n v="21.259"/>
    <n v="5"/>
  </r>
  <r>
    <s v="409-49-6995"/>
    <x v="1"/>
    <s v="Naypyitaw"/>
    <s v="Member"/>
    <s v="Female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</r>
  <r>
    <s v="725-54-0677"/>
    <x v="1"/>
    <s v="Naypyitaw"/>
    <s v="Member"/>
    <s v="Male"/>
    <x v="0"/>
    <n v="85.6"/>
    <n v="7"/>
    <n v="29.96"/>
    <n v="629.16"/>
    <d v="2019-02-03T00:00:00"/>
    <d v="1899-12-30T13:50:00"/>
    <s v="Cash"/>
    <n v="599.20000000000005"/>
    <n v="4.7619047620000003"/>
    <n v="29.96"/>
    <n v="5.3"/>
  </r>
  <r>
    <s v="146-09-5432"/>
    <x v="0"/>
    <s v="Yangon"/>
    <s v="Member"/>
    <s v="Male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</r>
  <r>
    <s v="377-79-7592"/>
    <x v="1"/>
    <s v="Naypyitaw"/>
    <s v="Member"/>
    <s v="Female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</r>
  <r>
    <s v="509-10-0516"/>
    <x v="2"/>
    <s v="Mandalay"/>
    <s v="Normal"/>
    <s v="Male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</r>
  <r>
    <s v="595-94-9924"/>
    <x v="0"/>
    <s v="Yangon"/>
    <s v="Member"/>
    <s v="Female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</r>
  <r>
    <s v="865-41-9075"/>
    <x v="0"/>
    <s v="Yangon"/>
    <s v="Normal"/>
    <s v="Male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</r>
  <r>
    <s v="545-07-8534"/>
    <x v="1"/>
    <s v="Naypyitaw"/>
    <s v="Normal"/>
    <s v="Female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</r>
  <r>
    <s v="118-62-1812"/>
    <x v="1"/>
    <s v="Naypyitaw"/>
    <s v="Member"/>
    <s v="Female"/>
    <x v="2"/>
    <n v="78.38"/>
    <n v="4"/>
    <n v="15.676"/>
    <n v="329.19600000000003"/>
    <s v="3/24/2019"/>
    <d v="1899-12-30T17:56:00"/>
    <s v="Cash"/>
    <n v="313.52"/>
    <n v="4.7619047620000003"/>
    <n v="15.676"/>
    <n v="7.9"/>
  </r>
  <r>
    <s v="450-42-3339"/>
    <x v="1"/>
    <s v="Naypyitaw"/>
    <s v="Normal"/>
    <s v="Male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</r>
  <r>
    <s v="851-98-3555"/>
    <x v="2"/>
    <s v="Mandalay"/>
    <s v="Normal"/>
    <s v="Female"/>
    <x v="0"/>
    <n v="82.88"/>
    <n v="5"/>
    <n v="20.72"/>
    <n v="435.12"/>
    <s v="3/24/2019"/>
    <d v="1899-12-30T14:08:00"/>
    <s v="Credit card"/>
    <n v="414.4"/>
    <n v="4.7619047620000003"/>
    <n v="20.72"/>
    <n v="6.6"/>
  </r>
  <r>
    <s v="186-71-5196"/>
    <x v="0"/>
    <s v="Yangon"/>
    <s v="Member"/>
    <s v="Female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</r>
  <r>
    <s v="624-01-8356"/>
    <x v="2"/>
    <s v="Mandalay"/>
    <s v="Normal"/>
    <s v="Female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</r>
  <r>
    <s v="313-66-9943"/>
    <x v="2"/>
    <s v="Mandalay"/>
    <s v="Member"/>
    <s v="Female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</r>
  <r>
    <s v="151-27-8496"/>
    <x v="1"/>
    <s v="Naypyitaw"/>
    <s v="Normal"/>
    <s v="Female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</r>
  <r>
    <s v="453-33-6436"/>
    <x v="0"/>
    <s v="Yangon"/>
    <s v="Normal"/>
    <s v="Female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</r>
  <r>
    <s v="522-57-8364"/>
    <x v="0"/>
    <s v="Yangon"/>
    <s v="Member"/>
    <s v="Male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</r>
  <r>
    <s v="459-45-2396"/>
    <x v="0"/>
    <s v="Yangon"/>
    <s v="Member"/>
    <s v="Female"/>
    <x v="4"/>
    <n v="99.6"/>
    <n v="3"/>
    <n v="14.94"/>
    <n v="313.74"/>
    <s v="2/25/2019"/>
    <d v="1899-12-30T18:45:00"/>
    <s v="Cash"/>
    <n v="298.8"/>
    <n v="4.7619047620000003"/>
    <n v="14.94"/>
    <n v="5.8"/>
  </r>
  <r>
    <s v="717-96-4189"/>
    <x v="1"/>
    <s v="Naypyitaw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</r>
  <r>
    <s v="722-13-2115"/>
    <x v="1"/>
    <s v="Naypyitaw"/>
    <s v="Member"/>
    <s v="Male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</r>
  <r>
    <s v="749-81-8133"/>
    <x v="0"/>
    <s v="Yangon"/>
    <s v="Normal"/>
    <s v="Female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</r>
  <r>
    <s v="777-67-2495"/>
    <x v="2"/>
    <s v="Mandalay"/>
    <s v="Normal"/>
    <s v="Male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</r>
  <r>
    <s v="636-98-3364"/>
    <x v="2"/>
    <s v="Mandalay"/>
    <s v="Member"/>
    <s v="Female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</r>
  <r>
    <s v="246-55-6923"/>
    <x v="1"/>
    <s v="Naypyitaw"/>
    <s v="Member"/>
    <s v="Female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</r>
  <r>
    <s v="181-82-6255"/>
    <x v="2"/>
    <s v="Mandalay"/>
    <s v="Normal"/>
    <s v="Female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</r>
  <r>
    <s v="838-02-1821"/>
    <x v="1"/>
    <s v="Naypyitaw"/>
    <s v="Member"/>
    <s v="Female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</r>
  <r>
    <s v="887-42-0517"/>
    <x v="1"/>
    <s v="Naypyitaw"/>
    <s v="Normal"/>
    <s v="Female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</r>
  <r>
    <s v="457-12-0244"/>
    <x v="1"/>
    <s v="Naypyitaw"/>
    <s v="Member"/>
    <s v="Female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</r>
  <r>
    <s v="226-34-0034"/>
    <x v="2"/>
    <s v="Mandalay"/>
    <s v="Normal"/>
    <s v="Female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</r>
  <r>
    <s v="321-49-7382"/>
    <x v="2"/>
    <s v="Mandalay"/>
    <s v="Member"/>
    <s v="Male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</r>
  <r>
    <s v="397-25-8725"/>
    <x v="0"/>
    <s v="Yangon"/>
    <s v="Member"/>
    <s v="Female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</r>
  <r>
    <s v="431-66-2305"/>
    <x v="2"/>
    <s v="Mandalay"/>
    <s v="Normal"/>
    <s v="Female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</r>
  <r>
    <s v="825-94-5922"/>
    <x v="2"/>
    <s v="Mandalay"/>
    <s v="Normal"/>
    <s v="Male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</r>
  <r>
    <s v="641-62-7288"/>
    <x v="2"/>
    <s v="Mandalay"/>
    <s v="Normal"/>
    <s v="Male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</r>
  <r>
    <s v="756-93-1854"/>
    <x v="1"/>
    <s v="Naypyitaw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</r>
  <r>
    <s v="243-55-8457"/>
    <x v="0"/>
    <s v="Yangon"/>
    <s v="Normal"/>
    <s v="Female"/>
    <x v="4"/>
    <n v="74.44"/>
    <n v="10"/>
    <n v="37.22"/>
    <n v="781.62"/>
    <s v="2/27/2019"/>
    <d v="1899-12-30T11:40:00"/>
    <s v="Ewallet"/>
    <n v="744.4"/>
    <n v="4.7619047620000003"/>
    <n v="37.22"/>
    <n v="5.0999999999999996"/>
  </r>
  <r>
    <s v="458-10-8612"/>
    <x v="1"/>
    <s v="Naypyitaw"/>
    <s v="Normal"/>
    <s v="Male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</r>
  <r>
    <s v="501-61-1753"/>
    <x v="2"/>
    <s v="Mandalay"/>
    <s v="Normal"/>
    <s v="Female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</r>
  <r>
    <s v="235-06-8510"/>
    <x v="1"/>
    <s v="Naypyitaw"/>
    <s v="Member"/>
    <s v="Male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</r>
  <r>
    <s v="433-08-7822"/>
    <x v="1"/>
    <s v="Naypyitaw"/>
    <s v="Normal"/>
    <s v="Female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</r>
  <r>
    <s v="361-85-2571"/>
    <x v="0"/>
    <s v="Yangon"/>
    <s v="Normal"/>
    <s v="Female"/>
    <x v="3"/>
    <n v="89.48"/>
    <n v="5"/>
    <n v="22.37"/>
    <n v="469.77"/>
    <s v="3/30/2019"/>
    <d v="1899-12-30T10:18:00"/>
    <s v="Cash"/>
    <n v="447.4"/>
    <n v="4.7619047620000003"/>
    <n v="22.37"/>
    <n v="7.4"/>
  </r>
  <r>
    <s v="131-70-8179"/>
    <x v="0"/>
    <s v="Yangon"/>
    <s v="Member"/>
    <s v="Female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</r>
  <r>
    <s v="500-02-2261"/>
    <x v="1"/>
    <s v="Naypyitaw"/>
    <s v="Normal"/>
    <s v="Female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</r>
  <r>
    <s v="720-72-2436"/>
    <x v="0"/>
    <s v="Yangon"/>
    <s v="Normal"/>
    <s v="Male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</r>
  <r>
    <s v="702-83-5291"/>
    <x v="1"/>
    <s v="Naypyitaw"/>
    <s v="Member"/>
    <s v="Male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</r>
  <r>
    <s v="809-69-9497"/>
    <x v="0"/>
    <s v="Yangon"/>
    <s v="Normal"/>
    <s v="Female"/>
    <x v="2"/>
    <n v="45.68"/>
    <n v="10"/>
    <n v="22.84"/>
    <n v="479.64"/>
    <s v="1/19/2019"/>
    <d v="1899-12-30T19:30:00"/>
    <s v="Ewallet"/>
    <n v="456.8"/>
    <n v="4.7619047620000003"/>
    <n v="22.84"/>
    <n v="5.7"/>
  </r>
  <r>
    <s v="449-16-6770"/>
    <x v="0"/>
    <s v="Yangon"/>
    <s v="Normal"/>
    <s v="Male"/>
    <x v="0"/>
    <n v="50.79"/>
    <n v="5"/>
    <n v="12.6975"/>
    <n v="266.64749999999998"/>
    <s v="2/19/2019"/>
    <d v="1899-12-30T14:53:00"/>
    <s v="Credit card"/>
    <n v="253.95"/>
    <n v="4.7619047620000003"/>
    <n v="12.6975"/>
    <n v="5.3"/>
  </r>
  <r>
    <s v="333-23-2632"/>
    <x v="0"/>
    <s v="Yangon"/>
    <s v="Member"/>
    <s v="Male"/>
    <x v="0"/>
    <n v="10.08"/>
    <n v="7"/>
    <n v="3.528"/>
    <n v="74.087999999999994"/>
    <s v="3/28/2019"/>
    <d v="1899-12-30T20:14:00"/>
    <s v="Cash"/>
    <n v="70.56"/>
    <n v="4.7619047620000003"/>
    <n v="3.528"/>
    <n v="4.2"/>
  </r>
  <r>
    <s v="489-82-1237"/>
    <x v="0"/>
    <s v="Yangon"/>
    <s v="Normal"/>
    <s v="Female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</r>
  <r>
    <s v="859-97-6048"/>
    <x v="1"/>
    <s v="Naypyitaw"/>
    <s v="Member"/>
    <s v="Male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</r>
  <r>
    <s v="676-10-2200"/>
    <x v="2"/>
    <s v="Mandalay"/>
    <s v="Member"/>
    <s v="Male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</r>
  <r>
    <s v="373-88-1424"/>
    <x v="1"/>
    <s v="Naypyitaw"/>
    <s v="Member"/>
    <s v="Male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</r>
  <r>
    <s v="365-16-4334"/>
    <x v="2"/>
    <s v="Mandalay"/>
    <s v="Normal"/>
    <s v="Female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</r>
  <r>
    <s v="503-21-4385"/>
    <x v="2"/>
    <s v="Mandalay"/>
    <s v="Member"/>
    <s v="Male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</r>
  <r>
    <s v="305-89-2768"/>
    <x v="2"/>
    <s v="Mandalay"/>
    <s v="Member"/>
    <s v="Female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</r>
  <r>
    <s v="574-80-1489"/>
    <x v="2"/>
    <s v="Mandalay"/>
    <s v="Member"/>
    <s v="Female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</r>
  <r>
    <s v="784-08-0310"/>
    <x v="1"/>
    <s v="Naypyitaw"/>
    <s v="Member"/>
    <s v="Female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</r>
  <r>
    <s v="200-40-6154"/>
    <x v="2"/>
    <s v="Mandalay"/>
    <s v="Member"/>
    <s v="Male"/>
    <x v="2"/>
    <n v="65.91"/>
    <n v="6"/>
    <n v="19.773"/>
    <n v="415.233"/>
    <d v="2019-09-02T00:00:00"/>
    <d v="1899-12-30T11:45:00"/>
    <s v="Cash"/>
    <n v="395.46"/>
    <n v="4.7619047620000003"/>
    <n v="19.773"/>
    <n v="5.7"/>
  </r>
  <r>
    <s v="846-10-0341"/>
    <x v="0"/>
    <s v="Yangon"/>
    <s v="Normal"/>
    <s v="Female"/>
    <x v="5"/>
    <n v="42.57"/>
    <n v="7"/>
    <n v="14.8995"/>
    <n v="312.8895"/>
    <d v="2019-06-01T00:00:00"/>
    <d v="1899-12-30T11:51:00"/>
    <s v="Cash"/>
    <n v="297.99"/>
    <n v="4.7619047620000003"/>
    <n v="14.8995"/>
    <n v="6.8"/>
  </r>
  <r>
    <s v="577-34-7579"/>
    <x v="1"/>
    <s v="Naypyitaw"/>
    <s v="Member"/>
    <s v="Male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</r>
  <r>
    <s v="430-02-3888"/>
    <x v="2"/>
    <s v="Mandalay"/>
    <s v="Normal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</r>
  <r>
    <s v="867-47-1948"/>
    <x v="1"/>
    <s v="Naypyitaw"/>
    <s v="Normal"/>
    <s v="Female"/>
    <x v="2"/>
    <n v="15.8"/>
    <n v="10"/>
    <n v="7.9"/>
    <n v="165.9"/>
    <d v="2019-09-01T00:00:00"/>
    <d v="1899-12-30T12:07:00"/>
    <s v="Cash"/>
    <n v="158"/>
    <n v="4.7619047620000003"/>
    <n v="7.9"/>
    <n v="7.8"/>
  </r>
  <r>
    <s v="384-59-6655"/>
    <x v="0"/>
    <s v="Yangon"/>
    <s v="Member"/>
    <s v="Female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</r>
  <r>
    <s v="256-58-3609"/>
    <x v="1"/>
    <s v="Naypyitaw"/>
    <s v="Member"/>
    <s v="Male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</r>
  <r>
    <s v="324-92-3863"/>
    <x v="0"/>
    <s v="Yangon"/>
    <s v="Member"/>
    <s v="Male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</r>
  <r>
    <s v="593-08-5916"/>
    <x v="0"/>
    <s v="Yangon"/>
    <s v="Normal"/>
    <s v="Female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</r>
  <r>
    <s v="364-34-2972"/>
    <x v="1"/>
    <s v="Naypyitaw"/>
    <s v="Member"/>
    <s v="Male"/>
    <x v="1"/>
    <n v="96.82"/>
    <n v="3"/>
    <n v="14.523"/>
    <n v="304.983"/>
    <s v="3/30/2019"/>
    <d v="1899-12-30T20:37:00"/>
    <s v="Cash"/>
    <n v="290.45999999999998"/>
    <n v="4.7619047620000003"/>
    <n v="14.523"/>
    <n v="6.7"/>
  </r>
  <r>
    <s v="794-42-3736"/>
    <x v="2"/>
    <s v="Mandalay"/>
    <s v="Normal"/>
    <s v="Male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</r>
  <r>
    <s v="172-42-8274"/>
    <x v="2"/>
    <s v="Mandalay"/>
    <s v="Normal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</r>
  <r>
    <s v="558-60-5016"/>
    <x v="0"/>
    <s v="Yangon"/>
    <s v="Normal"/>
    <s v="Female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</r>
  <r>
    <s v="195-06-0432"/>
    <x v="0"/>
    <s v="Yangon"/>
    <s v="Member"/>
    <s v="Male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</r>
  <r>
    <s v="605-03-2706"/>
    <x v="0"/>
    <s v="Yangon"/>
    <s v="Normal"/>
    <s v="Female"/>
    <x v="0"/>
    <n v="15.8"/>
    <n v="3"/>
    <n v="2.37"/>
    <n v="49.77"/>
    <s v="3/25/2019"/>
    <d v="1899-12-30T18:02:00"/>
    <s v="Cash"/>
    <n v="47.4"/>
    <n v="4.7619047620000003"/>
    <n v="2.37"/>
    <n v="9.5"/>
  </r>
  <r>
    <s v="214-30-2776"/>
    <x v="2"/>
    <s v="Mandalay"/>
    <s v="Member"/>
    <s v="Female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</r>
  <r>
    <s v="746-04-1077"/>
    <x v="2"/>
    <s v="Mandalay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</r>
  <r>
    <s v="448-34-8700"/>
    <x v="2"/>
    <s v="Mandalay"/>
    <s v="Member"/>
    <s v="Male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</r>
  <r>
    <s v="452-04-8808"/>
    <x v="2"/>
    <s v="Mandalay"/>
    <s v="Normal"/>
    <s v="Male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</r>
  <r>
    <s v="531-56-4728"/>
    <x v="0"/>
    <s v="Yangon"/>
    <s v="Normal"/>
    <s v="Male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</r>
  <r>
    <s v="744-82-9138"/>
    <x v="1"/>
    <s v="Naypyitaw"/>
    <s v="Normal"/>
    <s v="Male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</r>
  <r>
    <s v="883-69-1285"/>
    <x v="2"/>
    <s v="Mandalay"/>
    <s v="Member"/>
    <s v="Male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</r>
  <r>
    <s v="221-25-5073"/>
    <x v="0"/>
    <s v="Yangon"/>
    <s v="Normal"/>
    <s v="Female"/>
    <x v="4"/>
    <n v="74.66"/>
    <n v="4"/>
    <n v="14.932"/>
    <n v="313.572"/>
    <d v="2019-04-03T00:00:00"/>
    <d v="1899-12-30T10:39:00"/>
    <s v="Cash"/>
    <n v="298.64"/>
    <n v="4.7619047620000003"/>
    <n v="14.932"/>
    <n v="8.5"/>
  </r>
  <r>
    <s v="518-71-6847"/>
    <x v="2"/>
    <s v="Mandalay"/>
    <s v="Member"/>
    <s v="Male"/>
    <x v="4"/>
    <n v="26.6"/>
    <n v="6"/>
    <n v="7.98"/>
    <n v="167.58"/>
    <s v="2/26/2019"/>
    <d v="1899-12-30T15:10:00"/>
    <s v="Ewallet"/>
    <n v="159.6"/>
    <n v="4.7619047620000003"/>
    <n v="7.98"/>
    <n v="4.9000000000000004"/>
  </r>
  <r>
    <s v="156-20-0370"/>
    <x v="2"/>
    <s v="Mandalay"/>
    <s v="Normal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</r>
  <r>
    <s v="151-33-7434"/>
    <x v="2"/>
    <s v="Mandalay"/>
    <s v="Normal"/>
    <s v="Female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</r>
  <r>
    <s v="728-47-9078"/>
    <x v="1"/>
    <s v="Naypyitaw"/>
    <s v="Member"/>
    <s v="Male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</r>
  <r>
    <s v="809-46-1866"/>
    <x v="0"/>
    <s v="Yangon"/>
    <s v="Normal"/>
    <s v="Male"/>
    <x v="0"/>
    <n v="58.15"/>
    <n v="4"/>
    <n v="11.63"/>
    <n v="244.23"/>
    <s v="1/23/2019"/>
    <d v="1899-12-30T17:44:00"/>
    <s v="Cash"/>
    <n v="232.6"/>
    <n v="4.7619047620000003"/>
    <n v="11.63"/>
    <n v="8.4"/>
  </r>
  <r>
    <s v="139-32-4183"/>
    <x v="0"/>
    <s v="Yangon"/>
    <s v="Member"/>
    <s v="Female"/>
    <x v="3"/>
    <n v="97.48"/>
    <n v="9"/>
    <n v="43.866"/>
    <n v="921.18600000000004"/>
    <s v="3/14/2019"/>
    <d v="1899-12-30T14:19:00"/>
    <s v="Ewallet"/>
    <n v="877.32"/>
    <n v="4.7619047620000003"/>
    <n v="43.866"/>
    <n v="7.4"/>
  </r>
  <r>
    <s v="148-41-7930"/>
    <x v="1"/>
    <s v="Naypyitaw"/>
    <s v="Normal"/>
    <s v="Male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</r>
  <r>
    <s v="189-40-5216"/>
    <x v="1"/>
    <s v="Naypyitaw"/>
    <s v="Normal"/>
    <s v="Male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</r>
  <r>
    <s v="374-38-5555"/>
    <x v="2"/>
    <s v="Mandalay"/>
    <s v="Normal"/>
    <s v="Female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</r>
  <r>
    <s v="764-44-8999"/>
    <x v="2"/>
    <s v="Mandalay"/>
    <s v="Normal"/>
    <s v="Female"/>
    <x v="0"/>
    <n v="14.76"/>
    <n v="2"/>
    <n v="1.476"/>
    <n v="30.995999999999999"/>
    <s v="2/18/2019"/>
    <d v="1899-12-30T14:42:00"/>
    <s v="Ewallet"/>
    <n v="29.52"/>
    <n v="4.7619047620000003"/>
    <n v="1.476"/>
    <n v="4.3"/>
  </r>
  <r>
    <s v="552-44-5977"/>
    <x v="2"/>
    <s v="Mandalay"/>
    <s v="Member"/>
    <s v="Male"/>
    <x v="0"/>
    <n v="62"/>
    <n v="8"/>
    <n v="24.8"/>
    <n v="520.79999999999995"/>
    <d v="2019-03-01T00:00:00"/>
    <d v="1899-12-30T19:08:00"/>
    <s v="Credit card"/>
    <n v="496"/>
    <n v="4.7619047620000003"/>
    <n v="24.8"/>
    <n v="6.2"/>
  </r>
  <r>
    <s v="267-62-7380"/>
    <x v="1"/>
    <s v="Naypyitaw"/>
    <s v="Member"/>
    <s v="Male"/>
    <x v="1"/>
    <n v="82.34"/>
    <n v="10"/>
    <n v="41.17"/>
    <n v="864.57"/>
    <s v="3/29/2019"/>
    <d v="1899-12-30T19:12:00"/>
    <s v="Ewallet"/>
    <n v="823.4"/>
    <n v="4.7619047620000003"/>
    <n v="41.17"/>
    <n v="4.3"/>
  </r>
  <r>
    <s v="430-53-4718"/>
    <x v="2"/>
    <s v="Mandalay"/>
    <s v="Member"/>
    <s v="Male"/>
    <x v="0"/>
    <n v="75.37"/>
    <n v="8"/>
    <n v="30.148"/>
    <n v="633.10799999999995"/>
    <s v="1/28/2019"/>
    <d v="1899-12-30T15:46:00"/>
    <s v="Credit card"/>
    <n v="602.96"/>
    <n v="4.7619047620000003"/>
    <n v="30.148"/>
    <n v="8.4"/>
  </r>
  <r>
    <s v="886-18-2897"/>
    <x v="0"/>
    <s v="Yangon"/>
    <s v="Normal"/>
    <s v="Female"/>
    <x v="4"/>
    <n v="56.56"/>
    <n v="5"/>
    <n v="14.14"/>
    <n v="296.94"/>
    <s v="3/22/2019"/>
    <d v="1899-12-30T19:06:00"/>
    <s v="Credit card"/>
    <n v="282.8"/>
    <n v="4.7619047620000003"/>
    <n v="14.14"/>
    <n v="4.5"/>
  </r>
  <r>
    <s v="602-16-6955"/>
    <x v="2"/>
    <s v="Mandalay"/>
    <s v="Normal"/>
    <s v="Female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</r>
  <r>
    <s v="745-74-0715"/>
    <x v="0"/>
    <s v="Yangon"/>
    <s v="Normal"/>
    <s v="Male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</r>
  <r>
    <s v="690-01-6631"/>
    <x v="2"/>
    <s v="Mandalay"/>
    <s v="Normal"/>
    <s v="Male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</r>
  <r>
    <s v="652-49-6720"/>
    <x v="1"/>
    <s v="Naypyitaw"/>
    <s v="Member"/>
    <s v="Female"/>
    <x v="1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</r>
  <r>
    <s v="233-67-5758"/>
    <x v="1"/>
    <s v="Naypyitaw"/>
    <s v="Normal"/>
    <s v="Male"/>
    <x v="0"/>
    <n v="40.35"/>
    <n v="1"/>
    <n v="2.0175000000000001"/>
    <n v="42.3675"/>
    <s v="1/29/2019"/>
    <d v="1899-12-30T13:46:00"/>
    <s v="Ewallet"/>
    <n v="40.35"/>
    <n v="4.7619047620000003"/>
    <n v="2.0175000000000001"/>
    <n v="6.2"/>
  </r>
  <r>
    <s v="303-96-2227"/>
    <x v="2"/>
    <s v="Mandalay"/>
    <s v="Normal"/>
    <s v="Female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</r>
  <r>
    <s v="727-02-1313"/>
    <x v="0"/>
    <s v="Yangon"/>
    <s v="Member"/>
    <s v="Male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</r>
  <r>
    <s v="347-56-2442"/>
    <x v="0"/>
    <s v="Yangon"/>
    <s v="Normal"/>
    <s v="Male"/>
    <x v="2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</r>
  <r>
    <s v="849-09-3807"/>
    <x v="0"/>
    <s v="Yangon"/>
    <s v="Member"/>
    <s v="Female"/>
    <x v="5"/>
    <n v="88.34"/>
    <n v="7"/>
    <n v="30.919"/>
    <n v="649.29899999999998"/>
    <s v="2/18/2019"/>
    <d v="1899-12-30T13:28:00"/>
    <s v="Cash"/>
    <n v="618.38"/>
    <n v="4.7619047620000003"/>
    <n v="30.919"/>
    <n v="6.6"/>
  </r>
  <r>
    <m/>
    <x v="3"/>
    <m/>
    <m/>
    <m/>
    <x v="6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Alex"/>
    <s v="Yangon"/>
    <s v="Member"/>
    <s v="Female"/>
    <s v="Health and beauty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  <x v="0"/>
    <m/>
    <m/>
    <m/>
    <x v="0"/>
  </r>
  <r>
    <x v="1"/>
    <s v="Giza"/>
    <s v="Naypyitaw"/>
    <s v="Normal"/>
    <s v="Female"/>
    <s v="Electronic accessories"/>
    <n v="15.28"/>
    <n v="5"/>
    <n v="3.82"/>
    <n v="80.22"/>
    <d v="2019-08-03T00:00:00"/>
    <d v="1899-12-30T10:29:00"/>
    <s v="Cash"/>
    <n v="76.400000000000006"/>
    <n v="4.7619047620000003"/>
    <n v="3.82"/>
    <n v="9.6"/>
    <x v="1"/>
    <n v="4.7619047619047628"/>
    <s v="Excellent"/>
    <n v="1.699777149504638E-3"/>
    <x v="1"/>
  </r>
  <r>
    <x v="2"/>
    <s v="Alex"/>
    <s v="Yangon"/>
    <s v="Normal"/>
    <s v="Female"/>
    <s v="Home and lifestyle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x v="2"/>
    <n v="4.7619047619047619"/>
    <s v="Excellent"/>
    <n v="2.4838470290946261E-4"/>
    <x v="2"/>
  </r>
  <r>
    <x v="3"/>
    <s v="Alex"/>
    <s v="Yangon"/>
    <s v="Member"/>
    <s v="Female"/>
    <s v="Health and beauty"/>
    <n v="58.22"/>
    <n v="8"/>
    <n v="23.288"/>
    <n v="489.048"/>
    <s v="1/27/2019"/>
    <d v="1899-12-30T20:33:00"/>
    <s v="Ewallet"/>
    <n v="465.76"/>
    <n v="4.7619047620000003"/>
    <n v="23.288"/>
    <n v="8.4"/>
    <x v="2"/>
    <n v="4.761904761904761"/>
    <s v="Good"/>
    <n v="1.0543670549812542E-3"/>
    <x v="1"/>
  </r>
  <r>
    <x v="4"/>
    <s v="Alex"/>
    <s v="Yangon"/>
    <s v="Member"/>
    <s v="Female"/>
    <s v="Sports and travel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  <x v="2"/>
    <n v="4.7619047619047619"/>
    <s v="Excellent"/>
    <n v="1.5142363773182109E-3"/>
    <x v="3"/>
  </r>
  <r>
    <x v="5"/>
    <s v="Giza"/>
    <s v="Naypyitaw"/>
    <s v="Member"/>
    <s v="Female"/>
    <s v="Electronic accessories"/>
    <n v="85.39"/>
    <n v="7"/>
    <n v="29.886500000000002"/>
    <n v="627.61649999999997"/>
    <s v="3/25/2019"/>
    <d v="1899-12-30T18:30:00"/>
    <s v="Ewallet"/>
    <n v="597.73"/>
    <n v="4.7619047620000003"/>
    <n v="29.886500000000002"/>
    <n v="4.0999999999999996"/>
    <x v="1"/>
    <n v="4.7619047619047619"/>
    <s v="Average"/>
    <n v="1.9642223292776185E-3"/>
    <x v="2"/>
  </r>
  <r>
    <x v="6"/>
    <s v="Alex"/>
    <s v="Yangon"/>
    <s v="Member"/>
    <s v="Female"/>
    <s v="Electronic accessories"/>
    <n v="68.84"/>
    <n v="6"/>
    <n v="20.652000000000001"/>
    <n v="433.69200000000001"/>
    <s v="2/25/2019"/>
    <d v="1899-12-30T14:36:00"/>
    <s v="Ewallet"/>
    <n v="413.04"/>
    <n v="4.7619047620000003"/>
    <n v="20.652000000000001"/>
    <n v="5.8"/>
    <x v="1"/>
    <n v="4.7619047619047628"/>
    <s v="Average"/>
    <n v="1.9432851893988624E-3"/>
    <x v="3"/>
  </r>
  <r>
    <x v="7"/>
    <s v="Giza"/>
    <s v="Naypyitaw"/>
    <s v="Member"/>
    <s v="Female"/>
    <s v="Home and lifestyle"/>
    <n v="73.56"/>
    <n v="10"/>
    <n v="36.78"/>
    <n v="772.38"/>
    <s v="2/24/2019"/>
    <d v="1899-12-30T11:38:00"/>
    <s v="Ewallet"/>
    <n v="735.6"/>
    <n v="4.7619047620000003"/>
    <n v="36.78"/>
    <n v="8"/>
    <x v="2"/>
    <n v="4.7619047619047628"/>
    <s v="Average"/>
    <n v="1.3428379278759743E-3"/>
    <x v="1"/>
  </r>
  <r>
    <x v="8"/>
    <s v="Alex"/>
    <s v="Yangon"/>
    <s v="Member"/>
    <s v="Female"/>
    <s v="Health and beauty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  <x v="1"/>
    <n v="4.7619047619047628"/>
    <s v="Excellent"/>
    <n v="2.3915155426727842E-3"/>
    <x v="2"/>
  </r>
  <r>
    <x v="9"/>
    <s v="Cairo"/>
    <s v="Mandalay"/>
    <s v="Member"/>
    <s v="Female"/>
    <s v="Food and beverages"/>
    <n v="54.84"/>
    <n v="3"/>
    <n v="8.2260000000000009"/>
    <n v="172.74600000000001"/>
    <s v="2/20/2019"/>
    <d v="1899-12-30T13:27:00"/>
    <s v="Credit card"/>
    <n v="164.52"/>
    <n v="4.7619047620000003"/>
    <n v="8.2260000000000009"/>
    <n v="5.9"/>
    <x v="2"/>
    <n v="4.7619047619047619"/>
    <s v="Good"/>
    <n v="2.3577040124337997E-4"/>
    <x v="3"/>
  </r>
  <r>
    <x v="10"/>
    <s v="Cairo"/>
    <s v="Mandalay"/>
    <s v="Member"/>
    <s v="Female"/>
    <s v="Fashion accessories"/>
    <n v="14.48"/>
    <n v="4"/>
    <n v="2.8959999999999999"/>
    <n v="60.816000000000003"/>
    <d v="2019-06-02T00:00:00"/>
    <d v="1899-12-30T18:07:00"/>
    <s v="Ewallet"/>
    <n v="57.92"/>
    <n v="4.7619047620000003"/>
    <n v="2.8959999999999999"/>
    <n v="4.5"/>
    <x v="2"/>
    <n v="4.7619047619047628"/>
    <s v="Average"/>
    <n v="5.3487239951131925E-4"/>
    <x v="1"/>
  </r>
  <r>
    <x v="11"/>
    <s v="Cairo"/>
    <s v="Mandalay"/>
    <s v="Member"/>
    <s v="Female"/>
    <s v="Electronic accessories"/>
    <n v="25.51"/>
    <n v="4"/>
    <n v="5.1020000000000003"/>
    <n v="107.142"/>
    <d v="2019-09-03T00:00:00"/>
    <d v="1899-12-30T17:03:00"/>
    <s v="Cash"/>
    <n v="102.04"/>
    <n v="4.7619047620000003"/>
    <n v="5.1020000000000003"/>
    <n v="6.8"/>
    <x v="2"/>
    <n v="4.7619047619047619"/>
    <s v="Average"/>
    <n v="1.8830421456172874E-4"/>
    <x v="3"/>
  </r>
  <r>
    <x v="12"/>
    <s v="Alex"/>
    <s v="Yangon"/>
    <s v="Member"/>
    <s v="Female"/>
    <s v="Electronic accessories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  <x v="2"/>
    <n v="4.7619047619047628"/>
    <s v="Good"/>
    <n v="3.3174312938326654E-4"/>
    <x v="3"/>
  </r>
  <r>
    <x v="13"/>
    <s v="Alex"/>
    <s v="Yangon"/>
    <s v="Member"/>
    <s v="Female"/>
    <s v="Food and beverages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  <x v="2"/>
    <n v="4.7619047619047619"/>
    <s v="Good"/>
    <n v="7.63197761884769E-4"/>
    <x v="2"/>
  </r>
  <r>
    <x v="14"/>
    <s v="Alex"/>
    <s v="Yangon"/>
    <s v="Member"/>
    <s v="Female"/>
    <s v="Health and beauty"/>
    <n v="71.38"/>
    <n v="10"/>
    <n v="35.69"/>
    <n v="749.49"/>
    <s v="3/29/2019"/>
    <d v="1899-12-30T19:21:00"/>
    <s v="Cash"/>
    <n v="713.8"/>
    <n v="4.7619047620000003"/>
    <n v="35.69"/>
    <n v="5.7"/>
    <x v="2"/>
    <n v="4.7619047619047619"/>
    <s v="Excellent"/>
    <n v="1.4041538375209018E-3"/>
    <x v="1"/>
  </r>
  <r>
    <x v="15"/>
    <s v="Cairo"/>
    <s v="Mandalay"/>
    <s v="Member"/>
    <s v="Female"/>
    <s v="Sports and travel"/>
    <n v="93.72"/>
    <n v="6"/>
    <n v="28.116"/>
    <n v="590.43600000000004"/>
    <s v="1/15/2019"/>
    <d v="1899-12-30T16:19:00"/>
    <s v="Cash"/>
    <n v="562.32000000000005"/>
    <n v="4.7619047620000003"/>
    <n v="28.116"/>
    <n v="4.5"/>
    <x v="1"/>
    <n v="4.7619047619047619"/>
    <s v="Average"/>
    <n v="2.3206413735179896E-3"/>
    <x v="3"/>
  </r>
  <r>
    <x v="16"/>
    <s v="Alex"/>
    <s v="Yangon"/>
    <s v="Member"/>
    <s v="Female"/>
    <s v="Health and beauty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  <x v="1"/>
    <n v="4.7619047619047619"/>
    <s v="Average"/>
    <n v="1.8281634311524742E-3"/>
    <x v="1"/>
  </r>
  <r>
    <x v="17"/>
    <s v="Alex"/>
    <s v="Yangon"/>
    <s v="Member"/>
    <s v="Female"/>
    <s v="Sports and travel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x v="1"/>
    <n v="4.7619047619047619"/>
    <s v="Average"/>
    <n v="1.5686924476550367E-3"/>
    <x v="2"/>
  </r>
  <r>
    <x v="18"/>
    <s v="Alex"/>
    <s v="Yangon"/>
    <s v="Member"/>
    <s v="Female"/>
    <s v="Food and beverages"/>
    <n v="54.67"/>
    <n v="3"/>
    <n v="8.2004999999999999"/>
    <n v="172.2105"/>
    <s v="1/21/2019"/>
    <d v="1899-12-30T18:00:00"/>
    <s v="Credit card"/>
    <n v="164.01"/>
    <n v="4.7619047620000003"/>
    <n v="8.2004999999999999"/>
    <n v="8.6"/>
    <x v="2"/>
    <n v="4.7619047619047628"/>
    <s v="Good"/>
    <n v="1.4163780061457654E-3"/>
    <x v="2"/>
  </r>
  <r>
    <x v="19"/>
    <s v="Cairo"/>
    <s v="Mandalay"/>
    <s v="Member"/>
    <s v="Female"/>
    <s v="Home and lifestyle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  <x v="2"/>
    <n v="4.7619047619047619"/>
    <s v="Excellent"/>
    <n v="5.3321433408613826E-4"/>
    <x v="3"/>
  </r>
  <r>
    <x v="20"/>
    <s v="Giza"/>
    <s v="Naypyitaw"/>
    <s v="Member"/>
    <s v="Female"/>
    <s v="Electronic accessories"/>
    <n v="86.04"/>
    <n v="5"/>
    <n v="21.51"/>
    <n v="451.71"/>
    <s v="2/25/2019"/>
    <d v="1899-12-30T11:24:00"/>
    <s v="Ewallet"/>
    <n v="430.2"/>
    <n v="4.7619047620000003"/>
    <n v="21.51"/>
    <n v="4.8"/>
    <x v="2"/>
    <n v="4.7619047619047628"/>
    <s v="Average"/>
    <n v="2.6203935935212942E-4"/>
    <x v="1"/>
  </r>
  <r>
    <x v="21"/>
    <s v="Cairo"/>
    <s v="Mandalay"/>
    <s v="Member"/>
    <s v="Female"/>
    <s v="Health and beauty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  <x v="2"/>
    <n v="4.7619047619047628"/>
    <s v="Average"/>
    <n v="1.3986269527702987E-3"/>
    <x v="2"/>
  </r>
  <r>
    <x v="22"/>
    <s v="Cairo"/>
    <s v="Mandalay"/>
    <s v="Member"/>
    <s v="Female"/>
    <s v="Home and lifestyle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  <x v="2"/>
    <n v="4.7619047619047619"/>
    <s v="Average"/>
    <n v="8.580976241613032E-4"/>
    <x v="2"/>
  </r>
  <r>
    <x v="23"/>
    <s v="Alex"/>
    <s v="Yangon"/>
    <s v="Member"/>
    <s v="Female"/>
    <s v="Electronic accessories"/>
    <n v="34.56"/>
    <n v="5"/>
    <n v="8.64"/>
    <n v="181.44"/>
    <s v="2/17/2019"/>
    <d v="1899-12-30T11:15:00"/>
    <s v="Ewallet"/>
    <n v="172.8"/>
    <n v="4.7619047620000003"/>
    <n v="8.64"/>
    <n v="9.9"/>
    <x v="2"/>
    <n v="4.7619047619047619"/>
    <s v="Average"/>
    <n v="2.1587361614120834E-4"/>
    <x v="1"/>
  </r>
  <r>
    <x v="24"/>
    <s v="Alex"/>
    <s v="Yangon"/>
    <s v="Member"/>
    <s v="Female"/>
    <s v="Sports and travel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  <x v="2"/>
    <n v="4.7619047619047628"/>
    <s v="Excellent"/>
    <n v="5.6179157935543381E-4"/>
    <x v="2"/>
  </r>
  <r>
    <x v="25"/>
    <s v="Alex"/>
    <s v="Yangon"/>
    <s v="Member"/>
    <s v="Female"/>
    <s v="Home and lifestyle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  <x v="2"/>
    <n v="4.7619047619047619"/>
    <s v="Good"/>
    <n v="8.6443728608111281E-4"/>
    <x v="3"/>
  </r>
  <r>
    <x v="26"/>
    <s v="Cairo"/>
    <s v="Mandalay"/>
    <s v="Member"/>
    <s v="Female"/>
    <s v="Fashion accessories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  <x v="2"/>
    <n v="4.7619047619047628"/>
    <s v="Excellent"/>
    <n v="1.3678064425139936E-3"/>
    <x v="3"/>
  </r>
  <r>
    <x v="27"/>
    <s v="Alex"/>
    <s v="Yangon"/>
    <s v="Member"/>
    <s v="Female"/>
    <s v="Fashion accessories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  <x v="2"/>
    <n v="4.7619047619047628"/>
    <s v="Good"/>
    <n v="1.089771628471883E-4"/>
    <x v="1"/>
  </r>
  <r>
    <x v="28"/>
    <s v="Cairo"/>
    <s v="Mandalay"/>
    <s v="Member"/>
    <s v="Female"/>
    <s v="Food and beverages"/>
    <n v="88.36"/>
    <n v="5"/>
    <n v="22.09"/>
    <n v="463.89"/>
    <s v="1/25/2019"/>
    <d v="1899-12-30T19:48:00"/>
    <s v="Cash"/>
    <n v="441.8"/>
    <n v="4.7619047620000003"/>
    <n v="22.09"/>
    <n v="9.6"/>
    <x v="2"/>
    <n v="4.7619047619047619"/>
    <s v="Good"/>
    <n v="5.7004939539457037E-4"/>
    <x v="1"/>
  </r>
  <r>
    <x v="29"/>
    <s v="Alex"/>
    <s v="Yangon"/>
    <s v="Member"/>
    <s v="Female"/>
    <s v="Health and beauty"/>
    <n v="24.89"/>
    <n v="9"/>
    <n v="11.2005"/>
    <n v="235.2105"/>
    <s v="3/15/2019"/>
    <d v="1899-12-30T15:36:00"/>
    <s v="Cash"/>
    <n v="224.01"/>
    <n v="4.7619047620000003"/>
    <n v="11.2005"/>
    <n v="7.4"/>
    <x v="2"/>
    <n v="4.7619047619047628"/>
    <s v="Excellent"/>
    <n v="1.4363398134214736E-3"/>
    <x v="3"/>
  </r>
  <r>
    <x v="30"/>
    <s v="Cairo"/>
    <s v="Mandalay"/>
    <s v="Member"/>
    <s v="Female"/>
    <s v="Fashion accessories"/>
    <n v="94.13"/>
    <n v="5"/>
    <n v="23.532499999999999"/>
    <n v="494.1825"/>
    <s v="2/25/2019"/>
    <d v="1899-12-30T19:39:00"/>
    <s v="Credit card"/>
    <n v="470.65"/>
    <n v="4.7619047620000003"/>
    <n v="23.532499999999999"/>
    <n v="4.8"/>
    <x v="2"/>
    <n v="4.7619047619047619"/>
    <s v="Good"/>
    <n v="7.2828085469566384E-4"/>
    <x v="1"/>
  </r>
  <r>
    <x v="31"/>
    <s v="Cairo"/>
    <s v="Mandalay"/>
    <s v="Member"/>
    <s v="Female"/>
    <s v="Sports and travel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  <x v="2"/>
    <n v="4.7619047619047619"/>
    <s v="Average"/>
    <n v="1.5301342987478872E-3"/>
    <x v="3"/>
  </r>
  <r>
    <x v="32"/>
    <s v="Cairo"/>
    <s v="Mandalay"/>
    <s v="Member"/>
    <s v="Female"/>
    <s v="Sports and travel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  <x v="1"/>
    <n v="4.7619047619047628"/>
    <s v="Average"/>
    <n v="2.2843264895978494E-3"/>
    <x v="1"/>
  </r>
  <r>
    <x v="33"/>
    <s v="Alex"/>
    <s v="Yangon"/>
    <s v="Member"/>
    <s v="Female"/>
    <s v="Health and beauty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  <x v="1"/>
    <n v="4.7619047619047628"/>
    <s v="Average"/>
    <n v="2.1790230795554742E-3"/>
    <x v="1"/>
  </r>
  <r>
    <x v="34"/>
    <s v="Giza"/>
    <s v="Naypyitaw"/>
    <s v="Member"/>
    <s v="Female"/>
    <s v="Food and beverages"/>
    <n v="99.42"/>
    <n v="4"/>
    <n v="19.884"/>
    <n v="417.56400000000002"/>
    <d v="2019-06-02T00:00:00"/>
    <d v="1899-12-30T10:42:00"/>
    <s v="Ewallet"/>
    <n v="397.68"/>
    <n v="4.7619047620000003"/>
    <n v="19.884"/>
    <n v="7.5"/>
    <x v="2"/>
    <n v="4.7619047619047619"/>
    <s v="Average"/>
    <n v="6.2798415201559949E-4"/>
    <x v="2"/>
  </r>
  <r>
    <x v="35"/>
    <s v="Giza"/>
    <s v="Naypyitaw"/>
    <s v="Member"/>
    <s v="Female"/>
    <s v="Sports and travel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  <x v="2"/>
    <n v="4.7619047619047619"/>
    <s v="Good"/>
    <n v="1.2929008985999358E-3"/>
    <x v="2"/>
  </r>
  <r>
    <x v="36"/>
    <s v="Alex"/>
    <s v="Yangon"/>
    <s v="Member"/>
    <s v="Female"/>
    <s v="Sports and travel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  <x v="2"/>
    <n v="4.7619047619047628"/>
    <s v="Good"/>
    <n v="2.2146552306534807E-4"/>
    <x v="1"/>
  </r>
  <r>
    <x v="37"/>
    <s v="Alex"/>
    <s v="Yangon"/>
    <s v="Member"/>
    <s v="Female"/>
    <s v="Electronic accessories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  <x v="2"/>
    <n v="4.7619047619047619"/>
    <s v="Good"/>
    <n v="1.0179221267140411E-3"/>
    <x v="3"/>
  </r>
  <r>
    <x v="38"/>
    <s v="Giza"/>
    <s v="Naypyitaw"/>
    <s v="Member"/>
    <s v="Female"/>
    <s v="Health and beauty"/>
    <n v="54.92"/>
    <n v="8"/>
    <n v="21.968"/>
    <n v="461.32799999999997"/>
    <s v="3/23/2019"/>
    <d v="1899-12-30T13:24:00"/>
    <s v="Ewallet"/>
    <n v="439.36"/>
    <n v="4.7619047620000003"/>
    <n v="21.968"/>
    <n v="7.6"/>
    <x v="1"/>
    <n v="4.7619047619047619"/>
    <s v="Average"/>
    <n v="1.781347466206188E-3"/>
    <x v="3"/>
  </r>
  <r>
    <x v="39"/>
    <s v="Cairo"/>
    <s v="Mandalay"/>
    <s v="Member"/>
    <s v="Female"/>
    <s v="Home and lifestyle"/>
    <n v="30.12"/>
    <n v="8"/>
    <n v="12.048"/>
    <n v="253.00800000000001"/>
    <d v="2019-03-03T00:00:00"/>
    <d v="1899-12-30T13:01:00"/>
    <s v="Cash"/>
    <n v="240.96"/>
    <n v="4.7619047620000003"/>
    <n v="12.048"/>
    <n v="7.7"/>
    <x v="2"/>
    <n v="4.7619047619047628"/>
    <s v="Good"/>
    <n v="1.4284071082500194E-3"/>
    <x v="1"/>
  </r>
  <r>
    <x v="40"/>
    <s v="Cairo"/>
    <s v="Mandalay"/>
    <s v="Member"/>
    <s v="Female"/>
    <s v="Home and lifestyle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  <x v="2"/>
    <n v="4.7619047619047619"/>
    <s v="Good"/>
    <n v="7.8338714676785489E-4"/>
    <x v="1"/>
  </r>
  <r>
    <x v="41"/>
    <s v="Giza"/>
    <s v="Naypyitaw"/>
    <s v="Member"/>
    <s v="Female"/>
    <s v="Home and lifestyle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x v="2"/>
    <n v="4.7619047619047628"/>
    <s v="Good"/>
    <n v="2.81936144454301E-4"/>
    <x v="3"/>
  </r>
  <r>
    <x v="42"/>
    <s v="Cairo"/>
    <s v="Mandalay"/>
    <s v="Member"/>
    <s v="Female"/>
    <s v="Sports and travel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  <x v="2"/>
    <n v="4.7619047619047619"/>
    <s v="Good"/>
    <n v="3.6483941571334943E-4"/>
    <x v="2"/>
  </r>
  <r>
    <x v="43"/>
    <s v="Giza"/>
    <s v="Naypyitaw"/>
    <s v="Member"/>
    <s v="Female"/>
    <s v="Food and beverages"/>
    <n v="98.7"/>
    <n v="8"/>
    <n v="39.479999999999997"/>
    <n v="829.08"/>
    <d v="2019-04-03T00:00:00"/>
    <d v="1899-12-30T20:39:00"/>
    <s v="Cash"/>
    <n v="789.6"/>
    <n v="4.7619047620000003"/>
    <n v="39.479999999999997"/>
    <n v="7.6"/>
    <x v="2"/>
    <n v="4.7619047619047619"/>
    <s v="Average"/>
    <n v="1.3482997904530412E-3"/>
    <x v="1"/>
  </r>
  <r>
    <x v="44"/>
    <s v="Giza"/>
    <s v="Naypyitaw"/>
    <s v="Member"/>
    <s v="Female"/>
    <s v="Health and beauty"/>
    <n v="15.37"/>
    <n v="2"/>
    <n v="1.5369999999999999"/>
    <n v="32.277000000000001"/>
    <s v="3/16/2019"/>
    <d v="1899-12-30T19:47:00"/>
    <s v="Cash"/>
    <n v="30.74"/>
    <n v="4.7619047620000003"/>
    <n v="1.5369999999999999"/>
    <n v="7.2"/>
    <x v="1"/>
    <n v="4.761904761904761"/>
    <s v="Good"/>
    <n v="2.5670754112213571E-3"/>
    <x v="3"/>
  </r>
  <r>
    <x v="45"/>
    <s v="Cairo"/>
    <s v="Mandalay"/>
    <s v="Member"/>
    <s v="Female"/>
    <s v="Electronic accessories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  <x v="2"/>
    <n v="4.7619047619047619"/>
    <s v="Good"/>
    <n v="9.9939080725613632E-5"/>
    <x v="3"/>
  </r>
  <r>
    <x v="46"/>
    <s v="Cairo"/>
    <s v="Mandalay"/>
    <s v="Member"/>
    <s v="Female"/>
    <s v="Health and beauty"/>
    <n v="56.69"/>
    <n v="9"/>
    <n v="25.5105"/>
    <n v="535.72050000000002"/>
    <s v="2/27/2019"/>
    <d v="1899-12-30T17:24:00"/>
    <s v="Credit card"/>
    <n v="510.21"/>
    <n v="4.7619047620000003"/>
    <n v="25.5105"/>
    <n v="8.4"/>
    <x v="2"/>
    <n v="4.7619047619047628"/>
    <s v="Excellent"/>
    <n v="1.2218966850980684E-3"/>
    <x v="3"/>
  </r>
  <r>
    <x v="47"/>
    <s v="Cairo"/>
    <s v="Mandalay"/>
    <s v="Member"/>
    <s v="Female"/>
    <s v="Food and beverages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  <x v="1"/>
    <n v="4.7619047619047619"/>
    <s v="Excellent"/>
    <n v="1.6587481580031011E-3"/>
    <x v="3"/>
  </r>
  <r>
    <x v="48"/>
    <s v="Cairo"/>
    <s v="Mandalay"/>
    <s v="Member"/>
    <s v="Female"/>
    <s v="Electronic accessories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  <x v="2"/>
    <n v="4.7619047619047619"/>
    <s v="Average"/>
    <n v="5.8549216160949115E-4"/>
    <x v="1"/>
  </r>
  <r>
    <x v="49"/>
    <s v="Giza"/>
    <s v="Naypyitaw"/>
    <s v="Member"/>
    <s v="Female"/>
    <s v="Fashion accessories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  <x v="2"/>
    <n v="4.7619047619047628"/>
    <s v="Excellent"/>
    <n v="3.6926092351383197E-4"/>
    <x v="1"/>
  </r>
  <r>
    <x v="50"/>
    <s v="Giza"/>
    <s v="Naypyitaw"/>
    <s v="Member"/>
    <s v="Female"/>
    <s v="Food and beverages"/>
    <n v="91.4"/>
    <n v="7"/>
    <n v="31.99"/>
    <n v="671.79"/>
    <d v="2019-03-02T00:00:00"/>
    <d v="1899-12-30T10:19:00"/>
    <s v="Cash"/>
    <n v="639.79999999999995"/>
    <n v="4.7619047620000003"/>
    <n v="31.99"/>
    <n v="9.5"/>
    <x v="1"/>
    <n v="4.7619047619047619"/>
    <s v="Good"/>
    <n v="2.6863910996608501E-3"/>
    <x v="3"/>
  </r>
  <r>
    <x v="51"/>
    <s v="Alex"/>
    <s v="Yangon"/>
    <s v="Member"/>
    <s v="Female"/>
    <s v="Food and beverages"/>
    <n v="44.59"/>
    <n v="5"/>
    <n v="11.147500000000001"/>
    <n v="234.0975"/>
    <d v="2019-10-02T00:00:00"/>
    <d v="1899-12-30T15:10:00"/>
    <s v="Cash"/>
    <n v="222.95"/>
    <n v="4.7619047620000003"/>
    <n v="11.147500000000001"/>
    <n v="8.5"/>
    <x v="1"/>
    <n v="4.7619047619047619"/>
    <s v="Excellent"/>
    <n v="2.080059331432908E-3"/>
    <x v="2"/>
  </r>
  <r>
    <x v="52"/>
    <s v="Cairo"/>
    <s v="Mandalay"/>
    <s v="Member"/>
    <s v="Female"/>
    <s v="Fashion accessories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  <x v="2"/>
    <n v="4.7619047619047628"/>
    <s v="Excellent"/>
    <n v="7.2483467949822889E-4"/>
    <x v="1"/>
  </r>
  <r>
    <x v="53"/>
    <s v="Giza"/>
    <s v="Naypyitaw"/>
    <s v="Member"/>
    <s v="Female"/>
    <s v="Fashion accessories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  <x v="2"/>
    <n v="4.7619047619047619"/>
    <s v="Good"/>
    <n v="2.3238924821948154E-4"/>
    <x v="1"/>
  </r>
  <r>
    <x v="54"/>
    <s v="Cairo"/>
    <s v="Mandalay"/>
    <s v="Member"/>
    <s v="Female"/>
    <s v="Home and lifestyle"/>
    <n v="16.16"/>
    <n v="2"/>
    <n v="1.6160000000000001"/>
    <n v="33.936"/>
    <d v="2019-07-03T00:00:00"/>
    <d v="1899-12-30T11:49:00"/>
    <s v="Ewallet"/>
    <n v="32.32"/>
    <n v="4.7619047620000003"/>
    <n v="1.6160000000000001"/>
    <n v="6.5"/>
    <x v="2"/>
    <n v="4.7619047619047619"/>
    <s v="Good"/>
    <n v="5.0164606883416333E-5"/>
    <x v="1"/>
  </r>
  <r>
    <x v="55"/>
    <s v="Giza"/>
    <s v="Naypyitaw"/>
    <s v="Member"/>
    <s v="Female"/>
    <s v="Electronic accessories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  <x v="2"/>
    <n v="4.7619047619047628"/>
    <s v="Good"/>
    <n v="1.050758324349978E-4"/>
    <x v="2"/>
  </r>
  <r>
    <x v="56"/>
    <s v="Alex"/>
    <s v="Yangon"/>
    <s v="Member"/>
    <s v="Female"/>
    <s v="Home and lifestyle"/>
    <n v="44.34"/>
    <n v="2"/>
    <n v="4.4340000000000002"/>
    <n v="93.114000000000004"/>
    <s v="3/27/2019"/>
    <d v="1899-12-30T11:26:00"/>
    <s v="Cash"/>
    <n v="88.68"/>
    <n v="4.7619047620000003"/>
    <n v="4.4340000000000002"/>
    <n v="5.8"/>
    <x v="1"/>
    <n v="4.7619047619047628"/>
    <s v="Excellent"/>
    <n v="2.2362425922676015E-3"/>
    <x v="3"/>
  </r>
  <r>
    <x v="57"/>
    <s v="Alex"/>
    <s v="Yangon"/>
    <s v="Member"/>
    <s v="Female"/>
    <s v="Health and beauty"/>
    <n v="89.6"/>
    <n v="8"/>
    <n v="35.840000000000003"/>
    <n v="752.64"/>
    <d v="2019-07-02T00:00:00"/>
    <d v="1899-12-30T11:28:00"/>
    <s v="Ewallet"/>
    <n v="716.8"/>
    <n v="4.7619047620000003"/>
    <n v="35.840000000000003"/>
    <n v="6.6"/>
    <x v="2"/>
    <n v="4.7619047619047619"/>
    <s v="Average"/>
    <n v="2.8830831746087885E-4"/>
    <x v="2"/>
  </r>
  <r>
    <x v="58"/>
    <s v="Alex"/>
    <s v="Yangon"/>
    <s v="Member"/>
    <s v="Female"/>
    <s v="Home and lifestyle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  <x v="1"/>
    <n v="4.7619047619047628"/>
    <s v="Good"/>
    <n v="2.330394699548466E-3"/>
    <x v="2"/>
  </r>
  <r>
    <x v="59"/>
    <s v="Giza"/>
    <s v="Naypyitaw"/>
    <s v="Member"/>
    <s v="Female"/>
    <s v="Electronic accessories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  <x v="1"/>
    <n v="4.7619047619047619"/>
    <s v="Average"/>
    <n v="2.352177127683196E-3"/>
    <x v="1"/>
  </r>
  <r>
    <x v="60"/>
    <s v="Giza"/>
    <s v="Naypyitaw"/>
    <s v="Member"/>
    <s v="Female"/>
    <s v="Sports and travel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  <x v="2"/>
    <n v="4.7619047619047628"/>
    <s v="Excellent"/>
    <n v="5.9709861958575792E-4"/>
    <x v="3"/>
  </r>
  <r>
    <x v="61"/>
    <s v="Giza"/>
    <s v="Naypyitaw"/>
    <s v="Member"/>
    <s v="Female"/>
    <s v="Home and lifestyle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  <x v="2"/>
    <n v="4.7619047619047619"/>
    <s v="Excellent"/>
    <n v="2.4129728599398318E-4"/>
    <x v="3"/>
  </r>
  <r>
    <x v="62"/>
    <s v="Cairo"/>
    <s v="Mandalay"/>
    <s v="Member"/>
    <s v="Female"/>
    <s v="Sports and travel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  <x v="2"/>
    <n v="4.7619047619047628"/>
    <s v="Good"/>
    <n v="1.0871057193568862E-3"/>
    <x v="2"/>
  </r>
  <r>
    <x v="63"/>
    <s v="Alex"/>
    <s v="Yangon"/>
    <s v="Member"/>
    <s v="Female"/>
    <s v="Sports and travel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  <x v="1"/>
    <n v="4.7619047619047619"/>
    <s v="Excellent"/>
    <n v="1.6113469934949864E-3"/>
    <x v="1"/>
  </r>
  <r>
    <x v="64"/>
    <s v="Cairo"/>
    <s v="Mandalay"/>
    <s v="Member"/>
    <s v="Female"/>
    <s v="Health and beauty"/>
    <n v="75.739999999999995"/>
    <n v="4"/>
    <n v="15.148"/>
    <n v="318.108"/>
    <s v="2/14/2019"/>
    <d v="1899-12-30T14:35:00"/>
    <s v="Cash"/>
    <n v="302.95999999999998"/>
    <n v="4.7619047620000003"/>
    <n v="15.148"/>
    <n v="7.6"/>
    <x v="2"/>
    <n v="4.7619047619047628"/>
    <s v="Excellent"/>
    <n v="5.1400028180609997E-4"/>
    <x v="1"/>
  </r>
  <r>
    <x v="65"/>
    <s v="Alex"/>
    <s v="Yangon"/>
    <s v="Member"/>
    <s v="Female"/>
    <s v="Health and beauty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  <x v="2"/>
    <n v="4.7619047619047619"/>
    <s v="Good"/>
    <n v="9.8495588473103131E-4"/>
    <x v="1"/>
  </r>
  <r>
    <x v="66"/>
    <s v="Giza"/>
    <s v="Naypyitaw"/>
    <s v="Member"/>
    <s v="Female"/>
    <s v="Health and beauty"/>
    <n v="33.47"/>
    <n v="2"/>
    <n v="3.347"/>
    <n v="70.287000000000006"/>
    <d v="2019-10-02T00:00:00"/>
    <d v="1899-12-30T15:43:00"/>
    <s v="Ewallet"/>
    <n v="66.94"/>
    <n v="4.7619047620000003"/>
    <n v="3.347"/>
    <n v="6.7"/>
    <x v="2"/>
    <n v="4.7619047619047619"/>
    <s v="Average"/>
    <n v="5.1595094701219527E-4"/>
    <x v="1"/>
  </r>
  <r>
    <x v="67"/>
    <s v="Cairo"/>
    <s v="Mandalay"/>
    <s v="Member"/>
    <s v="Female"/>
    <s v="Fashion accessories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  <x v="2"/>
    <n v="4.7619047619047619"/>
    <s v="Good"/>
    <n v="2.1762921482669409E-4"/>
    <x v="1"/>
  </r>
  <r>
    <x v="68"/>
    <s v="Alex"/>
    <s v="Yangon"/>
    <s v="Member"/>
    <s v="Female"/>
    <s v="Sports and travel"/>
    <n v="78.77"/>
    <n v="10"/>
    <n v="39.384999999999998"/>
    <n v="827.08500000000004"/>
    <s v="1/24/2019"/>
    <d v="1899-12-30T10:04:00"/>
    <s v="Cash"/>
    <n v="787.7"/>
    <n v="4.7619047620000003"/>
    <n v="39.384999999999998"/>
    <n v="6.4"/>
    <x v="1"/>
    <n v="4.7619047619047628"/>
    <s v="Excellent"/>
    <n v="1.9040443076695794E-3"/>
    <x v="1"/>
  </r>
  <r>
    <x v="69"/>
    <s v="Alex"/>
    <s v="Yangon"/>
    <s v="Member"/>
    <s v="Female"/>
    <s v="Health and beauty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x v="1"/>
    <n v="4.7619047619047619"/>
    <s v="Good"/>
    <n v="2.5608983047353891E-3"/>
    <x v="2"/>
  </r>
  <r>
    <x v="70"/>
    <s v="Giza"/>
    <s v="Naypyitaw"/>
    <s v="Member"/>
    <s v="Female"/>
    <s v="Food and beverages"/>
    <n v="89.48"/>
    <n v="10"/>
    <n v="44.74"/>
    <n v="939.54"/>
    <d v="2019-06-01T00:00:00"/>
    <d v="1899-12-30T12:46:00"/>
    <s v="Credit card"/>
    <n v="894.8"/>
    <n v="4.7619047620000003"/>
    <n v="44.74"/>
    <n v="9.6"/>
    <x v="2"/>
    <n v="4.7619047619047619"/>
    <s v="Average"/>
    <n v="5.9592822046210082E-5"/>
    <x v="3"/>
  </r>
  <r>
    <x v="71"/>
    <s v="Giza"/>
    <s v="Naypyitaw"/>
    <s v="Member"/>
    <s v="Female"/>
    <s v="Fashion accessories"/>
    <n v="62.12"/>
    <n v="10"/>
    <n v="31.06"/>
    <n v="652.26"/>
    <d v="2019-11-02T00:00:00"/>
    <d v="1899-12-30T16:19:00"/>
    <s v="Cash"/>
    <n v="621.20000000000005"/>
    <n v="4.7619047620000003"/>
    <n v="31.06"/>
    <n v="5.9"/>
    <x v="1"/>
    <n v="4.7619047619047628"/>
    <s v="Excellent"/>
    <n v="2.909092044023392E-3"/>
    <x v="1"/>
  </r>
  <r>
    <x v="72"/>
    <s v="Cairo"/>
    <s v="Mandalay"/>
    <s v="Member"/>
    <s v="Female"/>
    <s v="Food and beverages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  <x v="1"/>
    <n v="4.7619047619047619"/>
    <s v="Average"/>
    <n v="2.0195887100439552E-3"/>
    <x v="1"/>
  </r>
  <r>
    <x v="73"/>
    <s v="Giza"/>
    <s v="Naypyitaw"/>
    <s v="Member"/>
    <s v="Female"/>
    <s v="Electronic accessories"/>
    <n v="75.91"/>
    <n v="6"/>
    <n v="22.773"/>
    <n v="478.233"/>
    <d v="2019-09-03T00:00:00"/>
    <d v="1899-12-30T18:21:00"/>
    <s v="Cash"/>
    <n v="455.46"/>
    <n v="4.7619047620000003"/>
    <n v="22.773"/>
    <n v="8.6999999999999993"/>
    <x v="2"/>
    <n v="4.7619047619047619"/>
    <s v="Average"/>
    <n v="4.7323137899870911E-4"/>
    <x v="3"/>
  </r>
  <r>
    <x v="74"/>
    <s v="Alex"/>
    <s v="Yangon"/>
    <s v="Member"/>
    <s v="Female"/>
    <s v="Home and lifestyle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  <x v="2"/>
    <n v="4.7619047619047619"/>
    <s v="Excellent"/>
    <n v="1.480749957946909E-3"/>
    <x v="3"/>
  </r>
  <r>
    <x v="75"/>
    <s v="Giza"/>
    <s v="Naypyitaw"/>
    <s v="Member"/>
    <s v="Female"/>
    <s v="Electronic accessories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  <x v="1"/>
    <n v="4.7619047619047628"/>
    <s v="Excellent"/>
    <n v="2.1848425640869917E-3"/>
    <x v="2"/>
  </r>
  <r>
    <x v="76"/>
    <s v="Giza"/>
    <s v="Naypyitaw"/>
    <s v="Member"/>
    <s v="Female"/>
    <s v="Fashion accessories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  <x v="2"/>
    <n v="4.7619047619047619"/>
    <s v="Average"/>
    <n v="1.3540867638977903E-3"/>
    <x v="3"/>
  </r>
  <r>
    <x v="77"/>
    <s v="Alex"/>
    <s v="Yangon"/>
    <s v="Member"/>
    <s v="Female"/>
    <s v="Fashion accessories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  <x v="2"/>
    <n v="4.7619047619047628"/>
    <s v="Excellent"/>
    <n v="1.4349093256036704E-3"/>
    <x v="1"/>
  </r>
  <r>
    <x v="78"/>
    <s v="Giza"/>
    <s v="Naypyitaw"/>
    <s v="Member"/>
    <s v="Female"/>
    <s v="Food and beverages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  <x v="2"/>
    <n v="4.7619047619047619"/>
    <s v="Average"/>
    <n v="5.8549216160949115E-4"/>
    <x v="1"/>
  </r>
  <r>
    <x v="79"/>
    <s v="Giza"/>
    <s v="Naypyitaw"/>
    <s v="Member"/>
    <s v="Female"/>
    <s v="Health and beauty"/>
    <n v="20.38"/>
    <n v="5"/>
    <n v="5.0949999999999998"/>
    <n v="106.995"/>
    <s v="1/22/2019"/>
    <d v="1899-12-30T18:56:00"/>
    <s v="Cash"/>
    <n v="101.9"/>
    <n v="4.7619047620000003"/>
    <n v="5.0949999999999998"/>
    <n v="6"/>
    <x v="1"/>
    <n v="4.7619047619047628"/>
    <s v="Good"/>
    <n v="2.545943204821992E-3"/>
    <x v="1"/>
  </r>
  <r>
    <x v="80"/>
    <s v="Giza"/>
    <s v="Naypyitaw"/>
    <s v="Member"/>
    <s v="Female"/>
    <s v="Health and beauty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  <x v="2"/>
    <n v="4.7619047619047619"/>
    <s v="Good"/>
    <n v="3.3128797416851104E-4"/>
    <x v="3"/>
  </r>
  <r>
    <x v="81"/>
    <s v="Cairo"/>
    <s v="Mandalay"/>
    <s v="Member"/>
    <s v="Female"/>
    <s v="Food and beverages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  <x v="1"/>
    <n v="4.7619047619047619"/>
    <s v="Average"/>
    <n v="1.9348648179258847E-3"/>
    <x v="1"/>
  </r>
  <r>
    <x v="82"/>
    <s v="Giza"/>
    <s v="Naypyitaw"/>
    <s v="Member"/>
    <s v="Female"/>
    <s v="Food and beverages"/>
    <n v="19.25"/>
    <n v="8"/>
    <n v="7.7"/>
    <n v="161.69999999999999"/>
    <s v="1/23/2019"/>
    <d v="1899-12-30T18:37:00"/>
    <s v="Ewallet"/>
    <n v="154"/>
    <n v="4.7619047620000003"/>
    <n v="7.7"/>
    <n v="6.6"/>
    <x v="2"/>
    <n v="4.7619047619047628"/>
    <s v="Good"/>
    <n v="9.4295156062644677E-4"/>
    <x v="3"/>
  </r>
  <r>
    <x v="83"/>
    <s v="Giza"/>
    <s v="Naypyitaw"/>
    <s v="Member"/>
    <s v="Female"/>
    <s v="Food and beverages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  <x v="2"/>
    <n v="4.7619047619047628"/>
    <s v="Good"/>
    <n v="5.0067073623111572E-4"/>
    <x v="3"/>
  </r>
  <r>
    <x v="84"/>
    <s v="Giza"/>
    <s v="Naypyitaw"/>
    <s v="Member"/>
    <s v="Female"/>
    <s v="Sports and travel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  <x v="2"/>
    <n v="4.7619047619047619"/>
    <s v="Excellent"/>
    <n v="1.0450363730787652E-3"/>
    <x v="3"/>
  </r>
  <r>
    <x v="85"/>
    <s v="Giza"/>
    <s v="Naypyitaw"/>
    <s v="Member"/>
    <s v="Female"/>
    <s v="Sports and travel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  <x v="2"/>
    <n v="4.7619047619047628"/>
    <s v="Good"/>
    <n v="7.9505862691765805E-4"/>
    <x v="2"/>
  </r>
  <r>
    <x v="86"/>
    <s v="Giza"/>
    <s v="Naypyitaw"/>
    <s v="Member"/>
    <s v="Female"/>
    <s v="Fashion accessories"/>
    <n v="76.52"/>
    <n v="5"/>
    <n v="19.13"/>
    <n v="401.73"/>
    <s v="3/25/2019"/>
    <d v="1899-12-30T10:23:00"/>
    <s v="Cash"/>
    <n v="382.6"/>
    <n v="4.7619047620000003"/>
    <n v="19.13"/>
    <n v="9.9"/>
    <x v="1"/>
    <n v="4.7619047619047628"/>
    <s v="Average"/>
    <n v="1.8902596068798396E-3"/>
    <x v="1"/>
  </r>
  <r>
    <x v="87"/>
    <s v="Alex"/>
    <s v="Yangon"/>
    <s v="Member"/>
    <s v="Female"/>
    <s v="Food and beverages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  <x v="2"/>
    <n v="4.7619047619047619"/>
    <s v="Excellent"/>
    <n v="1.2438741797534084E-3"/>
    <x v="2"/>
  </r>
  <r>
    <x v="88"/>
    <s v="Alex"/>
    <s v="Yangon"/>
    <s v="Member"/>
    <s v="Female"/>
    <s v="Sports and travel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  <x v="2"/>
    <n v="4.7619047619047628"/>
    <s v="Good"/>
    <n v="1.1237782252314771E-3"/>
    <x v="3"/>
  </r>
  <r>
    <x v="89"/>
    <s v="Cairo"/>
    <s v="Mandalay"/>
    <s v="Member"/>
    <s v="Female"/>
    <s v="Health and beauty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  <x v="2"/>
    <n v="4.7619047619047619"/>
    <s v="Average"/>
    <n v="1.3807458550477587E-4"/>
    <x v="1"/>
  </r>
  <r>
    <x v="90"/>
    <s v="Giza"/>
    <s v="Naypyitaw"/>
    <s v="Member"/>
    <s v="Female"/>
    <s v="Home and lifestyle"/>
    <n v="47.38"/>
    <n v="4"/>
    <n v="9.4760000000000009"/>
    <n v="198.99600000000001"/>
    <s v="1/23/2019"/>
    <d v="1899-12-30T10:25:00"/>
    <s v="Cash"/>
    <n v="189.52"/>
    <n v="4.7619047620000003"/>
    <n v="9.4760000000000009"/>
    <n v="7.1"/>
    <x v="2"/>
    <n v="4.7619047619047628"/>
    <s v="Good"/>
    <n v="1.5018171421727377E-3"/>
    <x v="3"/>
  </r>
  <r>
    <x v="91"/>
    <s v="Giza"/>
    <s v="Naypyitaw"/>
    <s v="Member"/>
    <s v="Female"/>
    <s v="Sports and travel"/>
    <n v="44.86"/>
    <n v="10"/>
    <n v="22.43"/>
    <n v="471.03"/>
    <s v="1/26/2019"/>
    <d v="1899-12-30T19:54:00"/>
    <s v="Ewallet"/>
    <n v="448.6"/>
    <n v="4.7619047620000003"/>
    <n v="22.43"/>
    <n v="8.1999999999999993"/>
    <x v="2"/>
    <n v="4.7619047619047628"/>
    <s v="Good"/>
    <n v="6.1615011643195499E-4"/>
    <x v="2"/>
  </r>
  <r>
    <x v="92"/>
    <s v="Alex"/>
    <s v="Yangon"/>
    <s v="Member"/>
    <s v="Female"/>
    <s v="Sports and travel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  <x v="2"/>
    <n v="4.7619047619047628"/>
    <s v="Excellent"/>
    <n v="1.4584473524238864E-3"/>
    <x v="3"/>
  </r>
  <r>
    <x v="93"/>
    <s v="Cairo"/>
    <s v="Mandalay"/>
    <s v="Member"/>
    <s v="Female"/>
    <s v="Health and beauty"/>
    <n v="64.36"/>
    <n v="9"/>
    <n v="28.962"/>
    <n v="608.202"/>
    <d v="2019-12-03T00:00:00"/>
    <d v="1899-12-30T12:09:00"/>
    <s v="Credit card"/>
    <n v="579.24"/>
    <n v="4.7619047620000003"/>
    <n v="28.962"/>
    <n v="8.6"/>
    <x v="2"/>
    <n v="4.7619047619047619"/>
    <s v="Average"/>
    <n v="5.0021558101636017E-4"/>
    <x v="1"/>
  </r>
  <r>
    <x v="94"/>
    <s v="Giza"/>
    <s v="Naypyitaw"/>
    <s v="Member"/>
    <s v="Female"/>
    <s v="Health and beauty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  <x v="1"/>
    <n v="4.7619047619047619"/>
    <s v="Excellent"/>
    <n v="1.8831721899643602E-3"/>
    <x v="1"/>
  </r>
  <r>
    <x v="95"/>
    <s v="Alex"/>
    <s v="Yangon"/>
    <s v="Member"/>
    <s v="Female"/>
    <s v="Electronic accessories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  <x v="2"/>
    <n v="4.7619047619047619"/>
    <s v="Good"/>
    <n v="2.9178700374508205E-4"/>
    <x v="3"/>
  </r>
  <r>
    <x v="96"/>
    <s v="Cairo"/>
    <s v="Mandalay"/>
    <s v="Member"/>
    <s v="Female"/>
    <s v="Health and beauty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  <x v="2"/>
    <n v="4.7619047619047619"/>
    <s v="Good"/>
    <n v="3.158777190403585E-4"/>
    <x v="3"/>
  </r>
  <r>
    <x v="97"/>
    <s v="Giza"/>
    <s v="Naypyitaw"/>
    <s v="Member"/>
    <s v="Female"/>
    <s v="Electronic accessories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  <x v="1"/>
    <n v="4.7619047619047628"/>
    <s v="Average"/>
    <n v="2.8567491943265028E-3"/>
    <x v="2"/>
  </r>
  <r>
    <x v="98"/>
    <s v="Alex"/>
    <s v="Yangon"/>
    <s v="Member"/>
    <s v="Female"/>
    <s v="Food and beverages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  <x v="2"/>
    <n v="4.7619047619047619"/>
    <s v="Average"/>
    <n v="2.428578181588594E-4"/>
    <x v="1"/>
  </r>
  <r>
    <x v="99"/>
    <s v="Cairo"/>
    <s v="Mandalay"/>
    <s v="Member"/>
    <s v="Female"/>
    <s v="Home and lifestyle"/>
    <n v="82.7"/>
    <n v="6"/>
    <n v="24.81"/>
    <n v="521.01"/>
    <d v="2019-05-03T00:00:00"/>
    <d v="1899-12-30T18:14:00"/>
    <s v="Cash"/>
    <n v="496.2"/>
    <n v="4.7619047620000003"/>
    <n v="24.81"/>
    <n v="7.4"/>
    <x v="2"/>
    <n v="4.7619047619047619"/>
    <s v="Excellent"/>
    <n v="5.1448794810762376E-4"/>
    <x v="2"/>
  </r>
  <r>
    <x v="100"/>
    <s v="Giza"/>
    <s v="Naypyitaw"/>
    <s v="Member"/>
    <s v="Female"/>
    <s v="Fashion accessories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  <x v="1"/>
    <n v="4.7619047619047619"/>
    <s v="Good"/>
    <n v="1.6132001254407769E-3"/>
    <x v="3"/>
  </r>
  <r>
    <x v="101"/>
    <s v="Giza"/>
    <s v="Naypyitaw"/>
    <s v="Member"/>
    <s v="Female"/>
    <s v="Fashion accessories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  <x v="2"/>
    <n v="4.7619047619047628"/>
    <s v="Average"/>
    <n v="1.5836150364816653E-4"/>
    <x v="3"/>
  </r>
  <r>
    <x v="102"/>
    <s v="Giza"/>
    <s v="Naypyitaw"/>
    <s v="Member"/>
    <s v="Female"/>
    <s v="Electronic accessories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  <x v="1"/>
    <n v="4.7619047619047619"/>
    <s v="Good"/>
    <n v="2.2983712790817356E-3"/>
    <x v="1"/>
  </r>
  <r>
    <x v="103"/>
    <s v="Alex"/>
    <s v="Yangon"/>
    <s v="Member"/>
    <s v="Female"/>
    <s v="Food and beverages"/>
    <n v="58.26"/>
    <n v="6"/>
    <n v="17.478000000000002"/>
    <n v="367.03800000000001"/>
    <s v="3/28/2019"/>
    <d v="1899-12-30T16:44:00"/>
    <s v="Cash"/>
    <n v="349.56"/>
    <n v="4.7619047620000003"/>
    <n v="17.478000000000002"/>
    <n v="9.9"/>
    <x v="2"/>
    <n v="4.7619047619047628"/>
    <s v="Average"/>
    <n v="6.7502769456926346E-4"/>
    <x v="2"/>
  </r>
  <r>
    <x v="104"/>
    <s v="Cairo"/>
    <s v="Mandalay"/>
    <s v="Member"/>
    <s v="Female"/>
    <s v="Health and beauty"/>
    <n v="30.35"/>
    <n v="7"/>
    <n v="10.6225"/>
    <n v="223.07249999999999"/>
    <s v="3/19/2019"/>
    <d v="1899-12-30T18:19:00"/>
    <s v="Cash"/>
    <n v="212.45"/>
    <n v="4.7619047620000003"/>
    <n v="10.6225"/>
    <n v="8"/>
    <x v="2"/>
    <n v="4.7619047619047628"/>
    <s v="Excellent"/>
    <n v="1.1364575490710963E-3"/>
    <x v="1"/>
  </r>
  <r>
    <x v="105"/>
    <s v="Alex"/>
    <s v="Yangon"/>
    <s v="Member"/>
    <s v="Female"/>
    <s v="Electronic accessories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  <x v="2"/>
    <n v="4.7619047619047628"/>
    <s v="Excellent"/>
    <n v="6.9069803839156196E-4"/>
    <x v="3"/>
  </r>
  <r>
    <x v="106"/>
    <s v="Giza"/>
    <s v="Naypyitaw"/>
    <s v="Member"/>
    <s v="Female"/>
    <s v="Fashion accessories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  <x v="1"/>
    <n v="4.7619047619047628"/>
    <s v="Good"/>
    <n v="2.8827580637411062E-3"/>
    <x v="1"/>
  </r>
  <r>
    <x v="107"/>
    <s v="Alex"/>
    <s v="Yangon"/>
    <s v="Member"/>
    <s v="Female"/>
    <s v="Sports and travel"/>
    <n v="62.13"/>
    <n v="6"/>
    <n v="18.638999999999999"/>
    <n v="391.41899999999998"/>
    <s v="3/22/2019"/>
    <d v="1899-12-30T20:19:00"/>
    <s v="Cash"/>
    <n v="372.78"/>
    <n v="4.7619047620000003"/>
    <n v="18.638999999999999"/>
    <n v="7.4"/>
    <x v="2"/>
    <n v="4.7619047619047628"/>
    <s v="Good"/>
    <n v="5.3409213342888113E-4"/>
    <x v="3"/>
  </r>
  <r>
    <x v="108"/>
    <s v="Giza"/>
    <s v="Naypyitaw"/>
    <s v="Member"/>
    <s v="Female"/>
    <s v="Food and beverages"/>
    <n v="33.979999999999997"/>
    <n v="9"/>
    <n v="15.291"/>
    <n v="321.11099999999999"/>
    <s v="3/24/2019"/>
    <d v="1899-12-30T10:43:00"/>
    <s v="Cash"/>
    <n v="305.82"/>
    <n v="4.7619047620000003"/>
    <n v="15.291"/>
    <n v="4.2"/>
    <x v="2"/>
    <n v="4.7619047619047619"/>
    <s v="Good"/>
    <n v="1.2119482925469825E-3"/>
    <x v="3"/>
  </r>
  <r>
    <x v="109"/>
    <s v="Giza"/>
    <s v="Naypyitaw"/>
    <s v="Member"/>
    <s v="Female"/>
    <s v="Electronic accessories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x v="2"/>
    <n v="4.7619047619047628"/>
    <s v="Average"/>
    <n v="9.9425405554675206E-4"/>
    <x v="2"/>
  </r>
  <r>
    <x v="110"/>
    <s v="Cairo"/>
    <s v="Mandalay"/>
    <s v="Member"/>
    <s v="Female"/>
    <s v="Sports and travel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  <x v="1"/>
    <n v="4.7619047619047628"/>
    <s v="Excellent"/>
    <n v="2.6649337823938025E-3"/>
    <x v="1"/>
  </r>
  <r>
    <x v="111"/>
    <s v="Giza"/>
    <s v="Naypyitaw"/>
    <s v="Member"/>
    <s v="Female"/>
    <s v="Health and beauty"/>
    <n v="98.21"/>
    <n v="3"/>
    <n v="14.7315"/>
    <n v="309.36149999999998"/>
    <d v="2019-05-02T00:00:00"/>
    <d v="1899-12-30T10:41:00"/>
    <s v="Credit card"/>
    <n v="294.63"/>
    <n v="4.7619047620000003"/>
    <n v="14.7315"/>
    <n v="7.8"/>
    <x v="2"/>
    <n v="4.7619047619047628"/>
    <s v="Average"/>
    <n v="1.0722156416170258E-4"/>
    <x v="2"/>
  </r>
  <r>
    <x v="112"/>
    <s v="Cairo"/>
    <s v="Mandalay"/>
    <s v="Member"/>
    <s v="Female"/>
    <s v="Fashion accessories"/>
    <n v="72.84"/>
    <n v="7"/>
    <n v="25.494"/>
    <n v="535.37400000000002"/>
    <s v="2/15/2019"/>
    <d v="1899-12-30T12:44:00"/>
    <s v="Cash"/>
    <n v="509.88"/>
    <n v="4.7619047620000003"/>
    <n v="25.494"/>
    <n v="8.4"/>
    <x v="2"/>
    <n v="4.7619047619047628"/>
    <s v="Good"/>
    <n v="9.5787414945307551E-4"/>
    <x v="2"/>
  </r>
  <r>
    <x v="113"/>
    <s v="Alex"/>
    <s v="Yangon"/>
    <s v="Member"/>
    <s v="Female"/>
    <s v="Home and lifestyle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  <x v="1"/>
    <n v="4.7619047619047619"/>
    <s v="Excellent"/>
    <n v="1.6576752921397488E-3"/>
    <x v="1"/>
  </r>
  <r>
    <x v="114"/>
    <s v="Giza"/>
    <s v="Naypyitaw"/>
    <s v="Member"/>
    <s v="Female"/>
    <s v="Home and lifestyle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  <x v="1"/>
    <n v="4.7619047619047628"/>
    <s v="Average"/>
    <n v="1.6991269277692727E-3"/>
    <x v="3"/>
  </r>
  <r>
    <x v="115"/>
    <s v="Giza"/>
    <s v="Naypyitaw"/>
    <s v="Member"/>
    <s v="Female"/>
    <s v="Fashion accessories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  <x v="1"/>
    <n v="4.7619047619047619"/>
    <s v="Excellent"/>
    <n v="2.3639136300065361E-3"/>
    <x v="3"/>
  </r>
  <r>
    <x v="116"/>
    <s v="Cairo"/>
    <s v="Mandalay"/>
    <s v="Member"/>
    <s v="Female"/>
    <s v="Fashion accessories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  <x v="2"/>
    <n v="4.7619047619047619"/>
    <s v="Good"/>
    <n v="2.6353486934346912E-4"/>
    <x v="1"/>
  </r>
  <r>
    <x v="117"/>
    <s v="Cairo"/>
    <s v="Mandalay"/>
    <s v="Member"/>
    <s v="Female"/>
    <s v="Fashion accessories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  <x v="2"/>
    <n v="4.7619047619047628"/>
    <s v="Average"/>
    <n v="3.5664662184774936E-4"/>
    <x v="1"/>
  </r>
  <r>
    <x v="118"/>
    <s v="Alex"/>
    <s v="Yangon"/>
    <s v="Member"/>
    <s v="Female"/>
    <s v="Food and beverages"/>
    <n v="10.96"/>
    <n v="10"/>
    <n v="5.48"/>
    <n v="115.08"/>
    <d v="2019-02-02T00:00:00"/>
    <d v="1899-12-30T20:48:00"/>
    <s v="Ewallet"/>
    <n v="109.6"/>
    <n v="4.7619047620000003"/>
    <n v="5.48"/>
    <n v="6"/>
    <x v="2"/>
    <n v="4.7619047619047628"/>
    <s v="Average"/>
    <n v="1.6697694164175391E-4"/>
    <x v="1"/>
  </r>
  <r>
    <x v="119"/>
    <s v="Cairo"/>
    <s v="Mandalay"/>
    <s v="Member"/>
    <s v="Female"/>
    <s v="Home and lifestyle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  <x v="2"/>
    <n v="4.7619047619047628"/>
    <s v="Good"/>
    <n v="3.5632151098006679E-4"/>
    <x v="3"/>
  </r>
  <r>
    <x v="120"/>
    <s v="Alex"/>
    <s v="Yangon"/>
    <s v="Member"/>
    <s v="Female"/>
    <s v="Electronic accessories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  <x v="2"/>
    <n v="4.7619047619047628"/>
    <s v="Average"/>
    <n v="3.4747849537910164E-4"/>
    <x v="3"/>
  </r>
  <r>
    <x v="121"/>
    <s v="Giza"/>
    <s v="Naypyitaw"/>
    <s v="Member"/>
    <s v="Female"/>
    <s v="Sports and travel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  <x v="1"/>
    <n v="4.7619047619047619"/>
    <s v="Average"/>
    <n v="2.5894430389179161E-3"/>
    <x v="3"/>
  </r>
  <r>
    <x v="122"/>
    <s v="Cairo"/>
    <s v="Mandalay"/>
    <s v="Member"/>
    <s v="Female"/>
    <s v="Sports and travel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  <x v="2"/>
    <n v="4.7619047619047628"/>
    <s v="Good"/>
    <n v="1.2999232933418787E-3"/>
    <x v="1"/>
  </r>
  <r>
    <x v="123"/>
    <s v="Giza"/>
    <s v="Naypyitaw"/>
    <s v="Member"/>
    <s v="Female"/>
    <s v="Home and lifestyle"/>
    <n v="63.91"/>
    <n v="8"/>
    <n v="25.564"/>
    <n v="536.84400000000005"/>
    <s v="3/13/2019"/>
    <d v="1899-12-30T19:52:00"/>
    <s v="Credit card"/>
    <n v="511.28"/>
    <n v="4.7619047620000003"/>
    <n v="25.564"/>
    <n v="4.5999999999999996"/>
    <x v="1"/>
    <n v="4.7619047619047628"/>
    <s v="Average"/>
    <n v="2.924827410019227E-3"/>
    <x v="3"/>
  </r>
  <r>
    <x v="124"/>
    <s v="Cairo"/>
    <s v="Mandalay"/>
    <s v="Member"/>
    <s v="Female"/>
    <s v="Fashion accessories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  <x v="1"/>
    <n v="4.7619047619047619"/>
    <s v="Average"/>
    <n v="1.6622268442873045E-3"/>
    <x v="3"/>
  </r>
  <r>
    <x v="125"/>
    <s v="Alex"/>
    <s v="Yangon"/>
    <s v="Member"/>
    <s v="Female"/>
    <s v="Home and lifestyle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  <x v="2"/>
    <n v="4.7619047619047619"/>
    <s v="Good"/>
    <n v="1.468720855842655E-3"/>
    <x v="1"/>
  </r>
  <r>
    <x v="126"/>
    <s v="Alex"/>
    <s v="Yangon"/>
    <s v="Member"/>
    <s v="Female"/>
    <s v="Sports and travel"/>
    <n v="32.25"/>
    <n v="5"/>
    <n v="8.0625"/>
    <n v="169.3125"/>
    <s v="1/27/2019"/>
    <d v="1899-12-30T13:26:00"/>
    <s v="Cash"/>
    <n v="161.25"/>
    <n v="4.7619047620000003"/>
    <n v="8.0625"/>
    <n v="9"/>
    <x v="1"/>
    <n v="4.7619047619047628"/>
    <s v="Average"/>
    <n v="2.1321746035224197E-3"/>
    <x v="3"/>
  </r>
  <r>
    <x v="127"/>
    <s v="Giza"/>
    <s v="Naypyitaw"/>
    <s v="Member"/>
    <s v="Female"/>
    <s v="Fashion accessories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  <x v="2"/>
    <n v="4.7619047619047619"/>
    <s v="Excellent"/>
    <n v="5.2424127413810008E-4"/>
    <x v="1"/>
  </r>
  <r>
    <x v="128"/>
    <s v="Giza"/>
    <s v="Naypyitaw"/>
    <s v="Member"/>
    <s v="Female"/>
    <s v="Food and beverages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  <x v="2"/>
    <n v="4.7619047619047619"/>
    <s v="Average"/>
    <n v="9.2841910484103721E-4"/>
    <x v="1"/>
  </r>
  <r>
    <x v="129"/>
    <s v="Cairo"/>
    <s v="Mandalay"/>
    <s v="Member"/>
    <s v="Female"/>
    <s v="Sports and travel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  <x v="1"/>
    <n v="4.7619047619047628"/>
    <s v="Excellent"/>
    <n v="1.782647909676918E-3"/>
    <x v="1"/>
  </r>
  <r>
    <x v="130"/>
    <s v="Cairo"/>
    <s v="Mandalay"/>
    <s v="Normal"/>
    <s v="Female"/>
    <s v="Fashion accessories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  <x v="1"/>
    <n v="4.7619047619047619"/>
    <s v="Good"/>
    <n v="2.6415908220941958E-3"/>
    <x v="2"/>
  </r>
  <r>
    <x v="131"/>
    <s v="Alex"/>
    <s v="Yangon"/>
    <s v="Member"/>
    <s v="Female"/>
    <s v="Sports and travel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  <x v="2"/>
    <n v="4.7619047619047628"/>
    <s v="Good"/>
    <n v="9.0166248043076387E-4"/>
    <x v="1"/>
  </r>
  <r>
    <x v="132"/>
    <s v="Cairo"/>
    <s v="Mandalay"/>
    <s v="Normal"/>
    <s v="Female"/>
    <s v="Sports and travel"/>
    <n v="34.840000000000003"/>
    <n v="4"/>
    <n v="6.968"/>
    <n v="146.328"/>
    <d v="2019-10-02T00:00:00"/>
    <d v="1899-12-30T18:36:00"/>
    <s v="Cash"/>
    <n v="139.36000000000001"/>
    <n v="4.7619047620000003"/>
    <n v="6.968"/>
    <n v="7.4"/>
    <x v="1"/>
    <n v="4.7619047619047619"/>
    <s v="Excellent"/>
    <n v="1.7971478543755595E-3"/>
    <x v="3"/>
  </r>
  <r>
    <x v="133"/>
    <s v="Cairo"/>
    <s v="Mandalay"/>
    <s v="Member"/>
    <s v="Female"/>
    <s v="Electronic accessories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  <x v="2"/>
    <n v="4.7619047619047619"/>
    <s v="Good"/>
    <n v="4.5307450520239151E-4"/>
    <x v="3"/>
  </r>
  <r>
    <x v="134"/>
    <s v="Giza"/>
    <s v="Naypyitaw"/>
    <s v="Normal"/>
    <s v="Female"/>
    <s v="Health and beauty"/>
    <n v="81.3"/>
    <n v="6"/>
    <n v="24.39"/>
    <n v="512.19000000000005"/>
    <d v="2019-08-03T00:00:00"/>
    <d v="1899-12-30T16:43:00"/>
    <s v="Ewallet"/>
    <n v="487.8"/>
    <n v="4.7619047620000003"/>
    <n v="24.39"/>
    <n v="5.3"/>
    <x v="1"/>
    <n v="4.7619047619047628"/>
    <s v="Excellent"/>
    <n v="1.7058567227303013E-3"/>
    <x v="1"/>
  </r>
  <r>
    <x v="135"/>
    <s v="Giza"/>
    <s v="Naypyitaw"/>
    <s v="Normal"/>
    <s v="Female"/>
    <s v="Fashion accessories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  <x v="1"/>
    <n v="4.7619047619047619"/>
    <s v="Average"/>
    <n v="1.5858908125554435E-3"/>
    <x v="1"/>
  </r>
  <r>
    <x v="136"/>
    <s v="Alex"/>
    <s v="Yangon"/>
    <s v="Normal"/>
    <s v="Female"/>
    <s v="Electronic accessories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  <x v="2"/>
    <n v="4.7619047619047628"/>
    <s v="Good"/>
    <n v="8.7994507446956997E-4"/>
    <x v="3"/>
  </r>
  <r>
    <x v="137"/>
    <s v="Alex"/>
    <s v="Yangon"/>
    <s v="Member"/>
    <s v="Female"/>
    <s v="Home and lifestyle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  <x v="2"/>
    <n v="4.7619047619047619"/>
    <s v="Excellent"/>
    <n v="4.2768334643638489E-4"/>
    <x v="3"/>
  </r>
  <r>
    <x v="138"/>
    <s v="Cairo"/>
    <s v="Mandalay"/>
    <s v="Normal"/>
    <s v="Female"/>
    <s v="Sports and travel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  <x v="2"/>
    <n v="4.7619047619047628"/>
    <s v="Excellent"/>
    <n v="6.7141896393798717E-4"/>
    <x v="1"/>
  </r>
  <r>
    <x v="139"/>
    <s v="Alex"/>
    <s v="Yangon"/>
    <s v="Normal"/>
    <s v="Female"/>
    <s v="Sports and travel"/>
    <n v="72.5"/>
    <n v="8"/>
    <n v="29"/>
    <n v="609"/>
    <s v="3/16/2019"/>
    <d v="1899-12-30T19:25:00"/>
    <s v="Ewallet"/>
    <n v="580"/>
    <n v="4.7619047620000003"/>
    <n v="29"/>
    <n v="9.1999999999999993"/>
    <x v="1"/>
    <n v="4.7619047619047628"/>
    <s v="Excellent"/>
    <n v="1.687650514140079E-3"/>
    <x v="1"/>
  </r>
  <r>
    <x v="140"/>
    <s v="Giza"/>
    <s v="Naypyitaw"/>
    <s v="Member"/>
    <s v="Female"/>
    <s v="Sports and travel"/>
    <n v="89.8"/>
    <n v="10"/>
    <n v="44.9"/>
    <n v="942.9"/>
    <s v="1/23/2019"/>
    <d v="1899-12-30T13:00:00"/>
    <s v="Credit card"/>
    <n v="898"/>
    <n v="4.7619047620000003"/>
    <n v="44.9"/>
    <n v="5.4"/>
    <x v="1"/>
    <n v="4.7619047619047619"/>
    <s v="Excellent"/>
    <n v="1.8856430325587476E-3"/>
    <x v="3"/>
  </r>
  <r>
    <x v="141"/>
    <s v="Giza"/>
    <s v="Naypyitaw"/>
    <s v="Member"/>
    <s v="Male"/>
    <s v="Health and beauty"/>
    <n v="90.5"/>
    <n v="10"/>
    <n v="45.25"/>
    <n v="950.25"/>
    <s v="1/25/2019"/>
    <d v="1899-12-30T13:48:00"/>
    <s v="Cash"/>
    <n v="905"/>
    <n v="4.7619047620000003"/>
    <n v="45.25"/>
    <n v="8.1"/>
    <x v="1"/>
    <n v="4.7619047619047619"/>
    <s v="Average"/>
    <n v="2.9194955917892333E-3"/>
    <x v="1"/>
  </r>
  <r>
    <x v="142"/>
    <s v="Giza"/>
    <s v="Naypyitaw"/>
    <s v="Member"/>
    <s v="Female"/>
    <s v="Health and beauty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  <x v="1"/>
    <n v="4.7619047619047619"/>
    <s v="Excellent"/>
    <n v="2.9422533525270112E-3"/>
    <x v="1"/>
  </r>
  <r>
    <x v="143"/>
    <s v="Giza"/>
    <s v="Naypyitaw"/>
    <s v="Member"/>
    <s v="Female"/>
    <s v="Food and beverages"/>
    <n v="30.41"/>
    <n v="1"/>
    <n v="1.5205"/>
    <n v="31.930499999999999"/>
    <s v="2/22/2019"/>
    <d v="1899-12-30T10:36:00"/>
    <s v="Credit card"/>
    <n v="30.41"/>
    <n v="4.7619047620000003"/>
    <n v="1.5205"/>
    <n v="8.4"/>
    <x v="1"/>
    <n v="4.7619047619047619"/>
    <s v="Excellent"/>
    <n v="2.2302605523022425E-3"/>
    <x v="3"/>
  </r>
  <r>
    <x v="144"/>
    <s v="Alex"/>
    <s v="Yangon"/>
    <s v="Normal"/>
    <s v="Female"/>
    <s v="Home and lifestyle"/>
    <n v="77.95"/>
    <n v="6"/>
    <n v="23.385000000000002"/>
    <n v="491.08499999999998"/>
    <s v="1/21/2019"/>
    <d v="1899-12-30T16:37:00"/>
    <s v="Ewallet"/>
    <n v="467.7"/>
    <n v="4.7619047620000003"/>
    <n v="23.385000000000002"/>
    <n v="8"/>
    <x v="2"/>
    <n v="4.7619047619047628"/>
    <s v="Excellent"/>
    <n v="9.8866214862261228E-5"/>
    <x v="2"/>
  </r>
  <r>
    <x v="145"/>
    <s v="Giza"/>
    <s v="Naypyitaw"/>
    <s v="Normal"/>
    <s v="Female"/>
    <s v="Health and beauty"/>
    <n v="46.26"/>
    <n v="6"/>
    <n v="13.878"/>
    <n v="291.43799999999999"/>
    <d v="2019-08-03T00:00:00"/>
    <d v="1899-12-30T17:11:00"/>
    <s v="Credit card"/>
    <n v="277.56"/>
    <n v="4.7619047620000003"/>
    <n v="13.878"/>
    <n v="9.5"/>
    <x v="2"/>
    <n v="4.7619047619047628"/>
    <s v="Excellent"/>
    <n v="1.5205435281512522E-3"/>
    <x v="1"/>
  </r>
  <r>
    <x v="146"/>
    <s v="Alex"/>
    <s v="Yangon"/>
    <s v="Member"/>
    <s v="Female"/>
    <s v="Fashion accessories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  <x v="2"/>
    <n v="4.7619047619047628"/>
    <s v="Excellent"/>
    <n v="9.023777243396655E-4"/>
    <x v="3"/>
  </r>
  <r>
    <x v="147"/>
    <s v="Giza"/>
    <s v="Naypyitaw"/>
    <s v="Normal"/>
    <s v="Male"/>
    <s v="Health and beauty"/>
    <n v="66.14"/>
    <n v="4"/>
    <n v="13.228"/>
    <n v="277.78800000000001"/>
    <s v="3/19/2019"/>
    <d v="1899-12-30T12:46:00"/>
    <s v="Credit card"/>
    <n v="264.56"/>
    <n v="4.7619047620000003"/>
    <n v="13.228"/>
    <n v="5.6"/>
    <x v="2"/>
    <n v="4.7619047619047619"/>
    <s v="Excellent"/>
    <n v="9.7988415519518384E-4"/>
    <x v="1"/>
  </r>
  <r>
    <x v="148"/>
    <s v="Cairo"/>
    <s v="Mandalay"/>
    <s v="Member"/>
    <s v="Male"/>
    <s v="Home and lifestyle"/>
    <n v="71.86"/>
    <n v="8"/>
    <n v="28.744"/>
    <n v="603.62400000000002"/>
    <d v="2019-06-03T00:00:00"/>
    <d v="1899-12-30T15:07:00"/>
    <s v="Credit card"/>
    <n v="574.88"/>
    <n v="4.7619047620000003"/>
    <n v="28.744"/>
    <n v="6.2"/>
    <x v="2"/>
    <n v="4.7619047619047619"/>
    <s v="Average"/>
    <n v="8.60113311540935E-4"/>
    <x v="1"/>
  </r>
  <r>
    <x v="149"/>
    <s v="Alex"/>
    <s v="Yangon"/>
    <s v="Normal"/>
    <s v="Male"/>
    <s v="Health and beauty"/>
    <n v="32.46"/>
    <n v="8"/>
    <n v="12.984"/>
    <n v="272.66399999999999"/>
    <s v="3/27/2019"/>
    <d v="1899-12-30T13:48:00"/>
    <s v="Credit card"/>
    <n v="259.68"/>
    <n v="4.7619047620000003"/>
    <n v="12.984"/>
    <n v="4.9000000000000004"/>
    <x v="1"/>
    <n v="4.7619047619047619"/>
    <s v="Good"/>
    <n v="1.8689973561334015E-3"/>
    <x v="1"/>
  </r>
  <r>
    <x v="150"/>
    <s v="Cairo"/>
    <s v="Mandalay"/>
    <s v="Member"/>
    <s v="Female"/>
    <s v="Fashion accessories"/>
    <n v="91.54"/>
    <n v="4"/>
    <n v="18.308"/>
    <n v="384.46800000000002"/>
    <s v="3/23/2019"/>
    <d v="1899-12-30T19:20:00"/>
    <s v="Credit card"/>
    <n v="366.16"/>
    <n v="4.7619047620000003"/>
    <n v="18.308"/>
    <n v="4.8"/>
    <x v="2"/>
    <n v="4.7619047619047628"/>
    <s v="Average"/>
    <n v="8.442479011980268E-4"/>
    <x v="1"/>
  </r>
  <r>
    <x v="151"/>
    <s v="Giza"/>
    <s v="Naypyitaw"/>
    <s v="Member"/>
    <s v="Male"/>
    <s v="Sports and travel"/>
    <n v="34.56"/>
    <n v="7"/>
    <n v="12.096"/>
    <n v="254.01599999999999"/>
    <d v="2019-11-03T00:00:00"/>
    <d v="1899-12-30T16:07:00"/>
    <s v="Credit card"/>
    <n v="241.92"/>
    <n v="4.7619047620000003"/>
    <n v="12.096"/>
    <n v="7.3"/>
    <x v="2"/>
    <n v="4.7619047619047619"/>
    <s v="Average"/>
    <n v="1.1904259531063984E-3"/>
    <x v="3"/>
  </r>
  <r>
    <x v="152"/>
    <s v="Alex"/>
    <s v="Yangon"/>
    <s v="Normal"/>
    <s v="Male"/>
    <s v="Fashion accessories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  <x v="2"/>
    <n v="4.7619047619047628"/>
    <s v="Good"/>
    <n v="7.8650821109760728E-4"/>
    <x v="1"/>
  </r>
  <r>
    <x v="153"/>
    <s v="Giza"/>
    <s v="Naypyitaw"/>
    <s v="Normal"/>
    <s v="Female"/>
    <s v="Food and beverages"/>
    <n v="16.48"/>
    <n v="6"/>
    <n v="4.944"/>
    <n v="103.824"/>
    <d v="2019-07-02T00:00:00"/>
    <d v="1899-12-30T18:23:00"/>
    <s v="Ewallet"/>
    <n v="98.88"/>
    <n v="4.7619047620000003"/>
    <n v="4.944"/>
    <n v="9.9"/>
    <x v="1"/>
    <n v="4.7619047619047619"/>
    <s v="Good"/>
    <n v="2.4356005763305371E-3"/>
    <x v="2"/>
  </r>
  <r>
    <x v="154"/>
    <s v="Giza"/>
    <s v="Naypyitaw"/>
    <s v="Normal"/>
    <s v="Female"/>
    <s v="Sports and travel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  <x v="2"/>
    <n v="4.7619047619047619"/>
    <s v="Excellent"/>
    <n v="3.2146962596449823E-4"/>
    <x v="3"/>
  </r>
  <r>
    <x v="155"/>
    <s v="Alex"/>
    <s v="Yangon"/>
    <s v="Member"/>
    <s v="Male"/>
    <s v="Food and beverages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  <x v="1"/>
    <n v="4.7619047619047619"/>
    <s v="Excellent"/>
    <n v="2.1059381565004388E-3"/>
    <x v="1"/>
  </r>
  <r>
    <x v="156"/>
    <s v="Cairo"/>
    <s v="Mandalay"/>
    <s v="Member"/>
    <s v="Male"/>
    <s v="Electronic accessories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  <x v="2"/>
    <n v="4.7619047619047628"/>
    <s v="Excellent"/>
    <n v="1.5002240989210932E-3"/>
    <x v="1"/>
  </r>
  <r>
    <x v="157"/>
    <s v="Cairo"/>
    <s v="Mandalay"/>
    <s v="Normal"/>
    <s v="Male"/>
    <s v="Home and lifestyle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  <x v="2"/>
    <n v="4.7619047619047628"/>
    <s v="Good"/>
    <n v="2.3463251320649103E-4"/>
    <x v="3"/>
  </r>
  <r>
    <x v="158"/>
    <s v="Cairo"/>
    <s v="Mandalay"/>
    <s v="Member"/>
    <s v="Male"/>
    <s v="Health and beauty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  <x v="2"/>
    <n v="4.7619047619047619"/>
    <s v="Excellent"/>
    <n v="15.36381381"/>
    <x v="4"/>
  </r>
  <r>
    <x v="159"/>
    <s v="Cairo"/>
    <s v="Mandalay"/>
    <s v="Normal"/>
    <s v="Male"/>
    <s v="Sports and travel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  <x v="1"/>
    <n v="4.7619047619047619"/>
    <s v="Good"/>
    <m/>
    <x v="0"/>
  </r>
  <r>
    <x v="160"/>
    <s v="Giza"/>
    <s v="Naypyitaw"/>
    <s v="Normal"/>
    <s v="Female"/>
    <s v="Food and beverages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  <x v="1"/>
    <n v="4.7619047619047628"/>
    <s v="Excellent"/>
    <m/>
    <x v="0"/>
  </r>
  <r>
    <x v="161"/>
    <s v="Alex"/>
    <s v="Yangon"/>
    <s v="Normal"/>
    <s v="Male"/>
    <s v="Sports and travel"/>
    <n v="63.69"/>
    <n v="1"/>
    <n v="3.1844999999999999"/>
    <n v="66.874499999999998"/>
    <s v="2/25/2019"/>
    <d v="1899-12-30T16:21:00"/>
    <s v="Cash"/>
    <n v="63.69"/>
    <n v="4.7619047620000003"/>
    <n v="3.1844999999999999"/>
    <n v="6"/>
    <x v="2"/>
    <n v="4.7619047619047619"/>
    <s v="Excellent"/>
    <m/>
    <x v="0"/>
  </r>
  <r>
    <x v="162"/>
    <s v="Alex"/>
    <s v="Yangon"/>
    <s v="Normal"/>
    <s v="Male"/>
    <s v="Food and beverages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  <x v="2"/>
    <n v="4.7619047619047619"/>
    <s v="Good"/>
    <n v="322317.45"/>
    <x v="5"/>
  </r>
  <r>
    <x v="163"/>
    <s v="Giza"/>
    <s v="Naypyitaw"/>
    <s v="Normal"/>
    <s v="Male"/>
    <s v="Sports and travel"/>
    <n v="76.400000000000006"/>
    <n v="2"/>
    <n v="7.64"/>
    <n v="160.44"/>
    <s v="1/30/2019"/>
    <d v="1899-12-30T19:42:00"/>
    <s v="Ewallet"/>
    <n v="152.80000000000001"/>
    <n v="4.7619047620000003"/>
    <n v="7.64"/>
    <n v="6.5"/>
    <x v="2"/>
    <n v="4.761904761904761"/>
    <s v="Good"/>
    <m/>
    <x v="0"/>
  </r>
  <r>
    <x v="164"/>
    <s v="Cairo"/>
    <s v="Mandalay"/>
    <s v="Normal"/>
    <s v="Male"/>
    <s v="Food and beverages"/>
    <n v="39.9"/>
    <n v="10"/>
    <n v="19.95"/>
    <n v="418.95"/>
    <s v="2/20/2019"/>
    <d v="1899-12-30T15:24:00"/>
    <s v="Credit card"/>
    <n v="399"/>
    <n v="4.7619047620000003"/>
    <n v="19.95"/>
    <n v="5.9"/>
    <x v="2"/>
    <n v="4.7619047619047619"/>
    <s v="Good"/>
    <m/>
    <x v="0"/>
  </r>
  <r>
    <x v="165"/>
    <s v="Cairo"/>
    <s v="Mandalay"/>
    <s v="Member"/>
    <s v="Male"/>
    <s v="Health and beauty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  <x v="2"/>
    <n v="4.7619047619047619"/>
    <s v="Average"/>
    <s v="Fashion accessories"/>
    <x v="0"/>
  </r>
  <r>
    <x v="166"/>
    <s v="Giza"/>
    <s v="Naypyitaw"/>
    <s v="Normal"/>
    <s v="Male"/>
    <s v="Home and lifestyle"/>
    <n v="95.58"/>
    <n v="10"/>
    <n v="47.79"/>
    <n v="1003.59"/>
    <s v="1/16/2019"/>
    <d v="1899-12-30T13:32:00"/>
    <s v="Cash"/>
    <n v="955.8"/>
    <n v="4.7619047620000003"/>
    <n v="47.79"/>
    <n v="4.8"/>
    <x v="2"/>
    <n v="4.761904761904761"/>
    <s v="Average"/>
    <m/>
    <x v="0"/>
  </r>
  <r>
    <x v="167"/>
    <s v="Alex"/>
    <s v="Yangon"/>
    <s v="Normal"/>
    <s v="Male"/>
    <s v="Fashion accessories"/>
    <n v="98.98"/>
    <n v="10"/>
    <n v="49.49"/>
    <n v="1039.29"/>
    <d v="2019-08-02T00:00:00"/>
    <d v="1899-12-30T16:20:00"/>
    <s v="Credit card"/>
    <n v="989.8"/>
    <n v="4.7619047620000003"/>
    <n v="49.49"/>
    <n v="8.6999999999999993"/>
    <x v="3"/>
    <n v="4.7619047619047619"/>
    <s v="Average"/>
    <m/>
    <x v="0"/>
  </r>
  <r>
    <x v="168"/>
    <s v="Alex"/>
    <s v="Yangon"/>
    <s v="Normal"/>
    <s v="Male"/>
    <s v="Food and beverages"/>
    <n v="51.28"/>
    <n v="6"/>
    <n v="15.384"/>
    <n v="323.06400000000002"/>
    <s v="1/19/2019"/>
    <d v="1899-12-30T16:31:00"/>
    <s v="Cash"/>
    <n v="307.68"/>
    <n v="4.7619047620000003"/>
    <n v="15.384"/>
    <n v="6.5"/>
    <x v="3"/>
    <n v="4.7619047619047628"/>
    <s v="Excellent"/>
    <m/>
    <x v="0"/>
  </r>
  <r>
    <x v="169"/>
    <s v="Alex"/>
    <s v="Yangon"/>
    <s v="Member"/>
    <s v="Male"/>
    <s v="Sports and travel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  <x v="2"/>
    <n v="4.7619047619047619"/>
    <s v="Good"/>
    <m/>
    <x v="0"/>
  </r>
  <r>
    <x v="170"/>
    <s v="Alex"/>
    <s v="Yangon"/>
    <s v="Normal"/>
    <s v="Male"/>
    <s v="Health and beauty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  <x v="1"/>
    <n v="4.7619047619047628"/>
    <s v="Excellent"/>
    <m/>
    <x v="0"/>
  </r>
  <r>
    <x v="171"/>
    <s v="Cairo"/>
    <s v="Mandalay"/>
    <s v="Member"/>
    <s v="Male"/>
    <s v="Food and beverages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  <x v="2"/>
    <n v="4.7619047619047628"/>
    <s v="Average"/>
    <m/>
    <x v="0"/>
  </r>
  <r>
    <x v="172"/>
    <s v="Giza"/>
    <s v="Naypyitaw"/>
    <s v="Normal"/>
    <s v="Male"/>
    <s v="Electronic accessories"/>
    <n v="20.85"/>
    <n v="8"/>
    <n v="8.34"/>
    <n v="175.14"/>
    <d v="2019-03-03T00:00:00"/>
    <d v="1899-12-30T19:17:00"/>
    <s v="Cash"/>
    <n v="166.8"/>
    <n v="4.7619047620000003"/>
    <n v="8.34"/>
    <n v="6.3"/>
    <x v="2"/>
    <n v="4.7619047619047619"/>
    <s v="Excellent"/>
    <m/>
    <x v="0"/>
  </r>
  <r>
    <x v="173"/>
    <s v="Cairo"/>
    <s v="Mandalay"/>
    <s v="Member"/>
    <s v="Male"/>
    <s v="Electronic accessories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  <x v="2"/>
    <n v="4.7619047619047628"/>
    <s v="Good"/>
    <m/>
    <x v="0"/>
  </r>
  <r>
    <x v="174"/>
    <s v="Cairo"/>
    <s v="Mandalay"/>
    <s v="Normal"/>
    <s v="Male"/>
    <s v="Food and beverages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  <x v="2"/>
    <n v="4.7619047619047628"/>
    <s v="Excellent"/>
    <m/>
    <x v="0"/>
  </r>
  <r>
    <x v="175"/>
    <s v="Alex"/>
    <s v="Yangon"/>
    <s v="Member"/>
    <s v="Male"/>
    <s v="Home and lifestyle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  <x v="2"/>
    <n v="4.7619047619047628"/>
    <s v="Excellent"/>
    <m/>
    <x v="0"/>
  </r>
  <r>
    <x v="176"/>
    <s v="Alex"/>
    <s v="Yangon"/>
    <s v="Member"/>
    <s v="Male"/>
    <s v="Food and beverages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x v="2"/>
    <n v="4.7619047619047619"/>
    <s v="Excellent"/>
    <m/>
    <x v="0"/>
  </r>
  <r>
    <x v="177"/>
    <s v="Giza"/>
    <s v="Naypyitaw"/>
    <s v="Normal"/>
    <s v="Female"/>
    <s v="Fashion accessories"/>
    <n v="22.51"/>
    <n v="7"/>
    <n v="7.8784999999999998"/>
    <n v="165.4485"/>
    <s v="2/13/2019"/>
    <d v="1899-12-30T10:50:00"/>
    <s v="Credit card"/>
    <n v="157.57"/>
    <n v="4.7619047620000003"/>
    <n v="7.8784999999999998"/>
    <n v="4.8"/>
    <x v="2"/>
    <n v="4.7619047619047619"/>
    <s v="Excellent"/>
    <m/>
    <x v="0"/>
  </r>
  <r>
    <x v="178"/>
    <s v="Alex"/>
    <s v="Yangon"/>
    <s v="Normal"/>
    <s v="Male"/>
    <s v="Food and beverages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  <x v="2"/>
    <n v="4.7619047619047619"/>
    <s v="Average"/>
    <m/>
    <x v="0"/>
  </r>
  <r>
    <x v="179"/>
    <s v="Giza"/>
    <s v="Naypyitaw"/>
    <s v="Member"/>
    <s v="Male"/>
    <s v="Health and beauty"/>
    <n v="86.8"/>
    <n v="3"/>
    <n v="13.02"/>
    <n v="273.42"/>
    <s v="1/28/2019"/>
    <d v="1899-12-30T16:47:00"/>
    <s v="Ewallet"/>
    <n v="260.39999999999998"/>
    <n v="4.7619047620000003"/>
    <n v="13.02"/>
    <n v="9.9"/>
    <x v="2"/>
    <n v="4.7619047619047628"/>
    <s v="Average"/>
    <m/>
    <x v="0"/>
  </r>
  <r>
    <x v="180"/>
    <s v="Giza"/>
    <s v="Naypyitaw"/>
    <s v="Normal"/>
    <s v="Male"/>
    <s v="Fashion accessories"/>
    <n v="64.260000000000005"/>
    <n v="7"/>
    <n v="22.491"/>
    <n v="472.31099999999998"/>
    <d v="2019-09-02T00:00:00"/>
    <d v="1899-12-30T10:00:00"/>
    <s v="Cash"/>
    <n v="449.82"/>
    <n v="4.7619047620000003"/>
    <n v="22.491"/>
    <n v="5.7"/>
    <x v="2"/>
    <n v="4.7619047619047619"/>
    <s v="Excellent"/>
    <m/>
    <x v="0"/>
  </r>
  <r>
    <x v="181"/>
    <s v="Giza"/>
    <s v="Naypyitaw"/>
    <s v="Member"/>
    <s v="Male"/>
    <s v="Food and beverages"/>
    <n v="38.47"/>
    <n v="8"/>
    <n v="15.388"/>
    <n v="323.14800000000002"/>
    <s v="1/23/2019"/>
    <d v="1899-12-30T11:51:00"/>
    <s v="Cash"/>
    <n v="307.76"/>
    <n v="4.7619047620000003"/>
    <n v="15.388"/>
    <n v="7.7"/>
    <x v="2"/>
    <n v="4.7619047619047628"/>
    <s v="Average"/>
    <m/>
    <x v="0"/>
  </r>
  <r>
    <x v="182"/>
    <s v="Alex"/>
    <s v="Yangon"/>
    <s v="Member"/>
    <s v="Male"/>
    <s v="Sports and travel"/>
    <n v="15.5"/>
    <n v="10"/>
    <n v="7.75"/>
    <n v="162.75"/>
    <s v="3/23/2019"/>
    <d v="1899-12-30T10:55:00"/>
    <s v="Ewallet"/>
    <n v="155"/>
    <n v="4.7619047620000003"/>
    <n v="7.75"/>
    <n v="8"/>
    <x v="2"/>
    <n v="4.7619047619047619"/>
    <s v="Good"/>
    <m/>
    <x v="0"/>
  </r>
  <r>
    <x v="183"/>
    <s v="Giza"/>
    <s v="Naypyitaw"/>
    <s v="Normal"/>
    <s v="Male"/>
    <s v="Health and beauty"/>
    <n v="34.31"/>
    <n v="8"/>
    <n v="13.724"/>
    <n v="288.20400000000001"/>
    <s v="1/25/2019"/>
    <d v="1899-12-30T15:00:00"/>
    <s v="Ewallet"/>
    <n v="274.48"/>
    <n v="4.7619047620000003"/>
    <n v="13.724"/>
    <n v="5.7"/>
    <x v="2"/>
    <n v="4.7619047619047619"/>
    <s v="Excellent"/>
    <m/>
    <x v="0"/>
  </r>
  <r>
    <x v="184"/>
    <s v="Alex"/>
    <s v="Yangon"/>
    <s v="Normal"/>
    <s v="Female"/>
    <s v="Sports and travel"/>
    <n v="12.34"/>
    <n v="7"/>
    <n v="4.319"/>
    <n v="90.698999999999998"/>
    <d v="2019-04-03T00:00:00"/>
    <d v="1899-12-30T11:19:00"/>
    <s v="Credit card"/>
    <n v="86.38"/>
    <n v="4.7619047620000003"/>
    <n v="4.319"/>
    <n v="6.7"/>
    <x v="2"/>
    <n v="4.7619047619047619"/>
    <s v="Average"/>
    <m/>
    <x v="0"/>
  </r>
  <r>
    <x v="185"/>
    <s v="Cairo"/>
    <s v="Mandalay"/>
    <s v="Member"/>
    <s v="Male"/>
    <s v="Food and beverages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  <x v="2"/>
    <n v="4.7619047619047619"/>
    <s v="Good"/>
    <m/>
    <x v="0"/>
  </r>
  <r>
    <x v="186"/>
    <s v="Cairo"/>
    <s v="Mandalay"/>
    <s v="Member"/>
    <s v="Female"/>
    <s v="Home and lifestyle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x v="2"/>
    <n v="4.7619047619047628"/>
    <s v="Excellent"/>
    <m/>
    <x v="0"/>
  </r>
  <r>
    <x v="187"/>
    <s v="Cairo"/>
    <s v="Mandalay"/>
    <s v="Member"/>
    <s v="Male"/>
    <s v="Home and lifestyle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  <x v="1"/>
    <n v="4.7619047619047619"/>
    <s v="Good"/>
    <m/>
    <x v="0"/>
  </r>
  <r>
    <x v="188"/>
    <s v="Alex"/>
    <s v="Yangon"/>
    <s v="Normal"/>
    <s v="Male"/>
    <s v="Home and lifestyle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  <x v="2"/>
    <n v="4.7619047619047628"/>
    <s v="Good"/>
    <m/>
    <x v="0"/>
  </r>
  <r>
    <x v="189"/>
    <s v="Giza"/>
    <s v="Naypyitaw"/>
    <s v="Normal"/>
    <s v="Female"/>
    <s v="Home and lifestyle"/>
    <n v="69.81"/>
    <n v="4"/>
    <n v="13.962"/>
    <n v="293.202"/>
    <s v="1/28/2019"/>
    <d v="1899-12-30T20:50:00"/>
    <s v="Credit card"/>
    <n v="279.24"/>
    <n v="4.7619047620000003"/>
    <n v="13.962"/>
    <n v="5.9"/>
    <x v="2"/>
    <n v="4.7619047619047628"/>
    <s v="Excellent"/>
    <m/>
    <x v="0"/>
  </r>
  <r>
    <x v="190"/>
    <s v="Cairo"/>
    <s v="Mandalay"/>
    <s v="Normal"/>
    <s v="Female"/>
    <s v="Home and lifestyle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  <x v="2"/>
    <n v="4.7619047619047619"/>
    <s v="Average"/>
    <m/>
    <x v="0"/>
  </r>
  <r>
    <x v="191"/>
    <s v="Cairo"/>
    <s v="Mandalay"/>
    <s v="Normal"/>
    <s v="Female"/>
    <s v="Fashion accessories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  <x v="2"/>
    <n v="4.7619047619047619"/>
    <s v="Good"/>
    <m/>
    <x v="0"/>
  </r>
  <r>
    <x v="192"/>
    <s v="Giza"/>
    <s v="Naypyitaw"/>
    <s v="Normal"/>
    <s v="Female"/>
    <s v="Food and beverages"/>
    <n v="87.8"/>
    <n v="9"/>
    <n v="39.51"/>
    <n v="829.71"/>
    <s v="3/16/2019"/>
    <d v="1899-12-30T19:08:00"/>
    <s v="Cash"/>
    <n v="790.2"/>
    <n v="4.7619047620000003"/>
    <n v="39.51"/>
    <n v="9.1999999999999993"/>
    <x v="2"/>
    <n v="4.7619047619047628"/>
    <s v="Average"/>
    <m/>
    <x v="0"/>
  </r>
  <r>
    <x v="193"/>
    <s v="Cairo"/>
    <s v="Mandalay"/>
    <s v="Normal"/>
    <s v="Male"/>
    <s v="Home and lifestyle"/>
    <n v="25.55"/>
    <n v="4"/>
    <n v="5.1100000000000003"/>
    <n v="107.31"/>
    <s v="1/26/2019"/>
    <d v="1899-12-30T20:23:00"/>
    <s v="Ewallet"/>
    <n v="102.2"/>
    <n v="4.7619047620000003"/>
    <n v="5.1100000000000003"/>
    <n v="5.7"/>
    <x v="1"/>
    <n v="4.7619047619047619"/>
    <s v="Excellent"/>
    <m/>
    <x v="0"/>
  </r>
  <r>
    <x v="194"/>
    <s v="Alex"/>
    <s v="Yangon"/>
    <s v="Normal"/>
    <s v="Male"/>
    <s v="Electronic accessories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  <x v="2"/>
    <n v="4.7619047619047628"/>
    <s v="Average"/>
    <m/>
    <x v="0"/>
  </r>
  <r>
    <x v="195"/>
    <s v="Giza"/>
    <s v="Naypyitaw"/>
    <s v="Member"/>
    <s v="Female"/>
    <s v="Fashion accessories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  <x v="2"/>
    <n v="4.7619047619047628"/>
    <s v="Excellent"/>
    <m/>
    <x v="0"/>
  </r>
  <r>
    <x v="196"/>
    <s v="Giza"/>
    <s v="Naypyitaw"/>
    <s v="Member"/>
    <s v="Male"/>
    <s v="Health and beauty"/>
    <n v="43.7"/>
    <n v="2"/>
    <n v="4.37"/>
    <n v="91.77"/>
    <s v="3/26/2019"/>
    <d v="1899-12-30T18:03:00"/>
    <s v="Cash"/>
    <n v="87.4"/>
    <n v="4.7619047620000003"/>
    <n v="4.37"/>
    <n v="4.9000000000000004"/>
    <x v="2"/>
    <n v="4.7619047619047628"/>
    <s v="Average"/>
    <m/>
    <x v="0"/>
  </r>
  <r>
    <x v="197"/>
    <s v="Alex"/>
    <s v="Yangon"/>
    <s v="Normal"/>
    <s v="Female"/>
    <s v="Home and lifestyle"/>
    <n v="25.29"/>
    <n v="1"/>
    <n v="1.2645"/>
    <n v="26.554500000000001"/>
    <s v="3/23/2019"/>
    <d v="1899-12-30T10:13:00"/>
    <s v="Ewallet"/>
    <n v="25.29"/>
    <n v="4.7619047620000003"/>
    <n v="1.2645"/>
    <n v="6.1"/>
    <x v="2"/>
    <n v="4.7619047619047628"/>
    <s v="Average"/>
    <m/>
    <x v="0"/>
  </r>
  <r>
    <x v="198"/>
    <s v="Giza"/>
    <s v="Naypyitaw"/>
    <s v="Normal"/>
    <s v="Male"/>
    <s v="Health and beauty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  <x v="2"/>
    <n v="4.7619047619047619"/>
    <s v="Good"/>
    <m/>
    <x v="0"/>
  </r>
  <r>
    <x v="199"/>
    <s v="Giza"/>
    <s v="Naypyitaw"/>
    <s v="Member"/>
    <s v="Female"/>
    <s v="Food and beverages"/>
    <n v="71.39"/>
    <n v="5"/>
    <n v="17.8475"/>
    <n v="374.79750000000001"/>
    <s v="2/17/2019"/>
    <d v="1899-12-30T19:57:00"/>
    <s v="Credit card"/>
    <n v="356.95"/>
    <n v="4.7619047620000003"/>
    <n v="17.8475"/>
    <n v="5.5"/>
    <x v="2"/>
    <n v="4.7619047619047628"/>
    <s v="Excellent"/>
    <m/>
    <x v="0"/>
  </r>
  <r>
    <x v="200"/>
    <s v="Giza"/>
    <s v="Naypyitaw"/>
    <s v="Member"/>
    <s v="Female"/>
    <s v="Sports and travel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  <x v="2"/>
    <n v="4.7619047619047619"/>
    <s v="Average"/>
    <m/>
    <x v="0"/>
  </r>
  <r>
    <x v="201"/>
    <s v="Cairo"/>
    <s v="Mandalay"/>
    <s v="Member"/>
    <s v="Female"/>
    <s v="Electronic accessories"/>
    <n v="57.49"/>
    <n v="4"/>
    <n v="11.497999999999999"/>
    <n v="241.458"/>
    <s v="3/15/2019"/>
    <d v="1899-12-30T11:57:00"/>
    <s v="Cash"/>
    <n v="229.96"/>
    <n v="4.7619047620000003"/>
    <n v="11.497999999999999"/>
    <n v="6.6"/>
    <x v="2"/>
    <n v="4.7619047619047628"/>
    <s v="Good"/>
    <m/>
    <x v="0"/>
  </r>
  <r>
    <x v="202"/>
    <s v="Giza"/>
    <s v="Naypyitaw"/>
    <s v="Normal"/>
    <s v="Male"/>
    <s v="Electronic accessories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  <x v="2"/>
    <n v="4.7619047619047619"/>
    <s v="Good"/>
    <m/>
    <x v="0"/>
  </r>
  <r>
    <x v="203"/>
    <s v="Cairo"/>
    <s v="Mandalay"/>
    <s v="Member"/>
    <s v="Male"/>
    <s v="Health and beauty"/>
    <n v="25.9"/>
    <n v="10"/>
    <n v="12.95"/>
    <n v="271.95"/>
    <d v="2019-06-02T00:00:00"/>
    <d v="1899-12-30T14:51:00"/>
    <s v="Ewallet"/>
    <n v="259"/>
    <n v="4.7619047620000003"/>
    <n v="12.95"/>
    <n v="8.6999999999999993"/>
    <x v="2"/>
    <n v="4.7619047619047628"/>
    <s v="Excellent"/>
    <m/>
    <x v="0"/>
  </r>
  <r>
    <x v="204"/>
    <s v="Cairo"/>
    <s v="Mandalay"/>
    <s v="Member"/>
    <s v="Male"/>
    <s v="Home and lifestyle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  <x v="2"/>
    <n v="4.7619047619047619"/>
    <s v="Excellent"/>
    <m/>
    <x v="0"/>
  </r>
  <r>
    <x v="205"/>
    <s v="Alex"/>
    <s v="Yangon"/>
    <s v="Normal"/>
    <s v="Female"/>
    <s v="Health and beauty"/>
    <n v="23.03"/>
    <n v="9"/>
    <n v="10.3635"/>
    <n v="217.6335"/>
    <d v="2019-03-01T00:00:00"/>
    <d v="1899-12-30T12:02:00"/>
    <s v="Ewallet"/>
    <n v="207.27"/>
    <n v="4.7619047620000003"/>
    <n v="10.3635"/>
    <n v="7.9"/>
    <x v="2"/>
    <n v="4.7619047619047619"/>
    <s v="Average"/>
    <m/>
    <x v="0"/>
  </r>
  <r>
    <x v="206"/>
    <s v="Giza"/>
    <s v="Naypyitaw"/>
    <s v="Member"/>
    <s v="Female"/>
    <s v="Electronic accessories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  <x v="2"/>
    <n v="4.7619047619047628"/>
    <s v="Good"/>
    <m/>
    <x v="0"/>
  </r>
  <r>
    <x v="207"/>
    <s v="Giza"/>
    <s v="Naypyitaw"/>
    <s v="Member"/>
    <s v="Female"/>
    <s v="Home and lifestyle"/>
    <n v="28.53"/>
    <n v="10"/>
    <n v="14.265000000000001"/>
    <n v="299.565"/>
    <s v="3/18/2019"/>
    <d v="1899-12-30T17:38:00"/>
    <s v="Ewallet"/>
    <n v="285.3"/>
    <n v="4.7619047620000003"/>
    <n v="14.265000000000001"/>
    <n v="7.8"/>
    <x v="1"/>
    <n v="4.7619047619047628"/>
    <s v="Excellent"/>
    <m/>
    <x v="0"/>
  </r>
  <r>
    <x v="208"/>
    <s v="Cairo"/>
    <s v="Mandalay"/>
    <s v="Normal"/>
    <s v="Female"/>
    <s v="Fashion accessories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  <x v="2"/>
    <n v="4.7619047619047628"/>
    <s v="Good"/>
    <m/>
    <x v="0"/>
  </r>
  <r>
    <x v="209"/>
    <s v="Cairo"/>
    <s v="Mandalay"/>
    <s v="Normal"/>
    <s v="Female"/>
    <s v="Electronic accessories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  <x v="2"/>
    <n v="4.7619047619047628"/>
    <s v="Average"/>
    <m/>
    <x v="0"/>
  </r>
  <r>
    <x v="210"/>
    <s v="Alex"/>
    <s v="Yangon"/>
    <s v="Normal"/>
    <s v="Male"/>
    <s v="Electronic accessories"/>
    <n v="26.23"/>
    <n v="9"/>
    <n v="11.8035"/>
    <n v="247.87350000000001"/>
    <s v="1/25/2019"/>
    <d v="1899-12-30T20:24:00"/>
    <s v="Ewallet"/>
    <n v="236.07"/>
    <n v="4.7619047620000003"/>
    <n v="11.8035"/>
    <n v="5.9"/>
    <x v="1"/>
    <n v="4.7619047619047628"/>
    <s v="Good"/>
    <m/>
    <x v="0"/>
  </r>
  <r>
    <x v="211"/>
    <s v="Giza"/>
    <s v="Naypyitaw"/>
    <s v="Normal"/>
    <s v="Female"/>
    <s v="Food and beverages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  <x v="2"/>
    <n v="4.7619047619047619"/>
    <s v="Average"/>
    <m/>
    <x v="0"/>
  </r>
  <r>
    <x v="212"/>
    <s v="Cairo"/>
    <s v="Mandalay"/>
    <s v="Normal"/>
    <s v="Male"/>
    <s v="Home and lifestyle"/>
    <n v="92.36"/>
    <n v="5"/>
    <n v="23.09"/>
    <n v="484.89"/>
    <s v="3/20/2019"/>
    <d v="1899-12-30T19:17:00"/>
    <s v="Ewallet"/>
    <n v="461.8"/>
    <n v="4.7619047620000003"/>
    <n v="23.09"/>
    <n v="4.9000000000000004"/>
    <x v="1"/>
    <n v="4.7619047619047619"/>
    <s v="Excellent"/>
    <m/>
    <x v="0"/>
  </r>
  <r>
    <x v="213"/>
    <s v="Cairo"/>
    <s v="Mandalay"/>
    <s v="Normal"/>
    <s v="Male"/>
    <s v="Sports and travel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  <x v="2"/>
    <n v="4.7619047619047628"/>
    <s v="Average"/>
    <m/>
    <x v="0"/>
  </r>
  <r>
    <x v="214"/>
    <s v="Cairo"/>
    <s v="Mandalay"/>
    <s v="Member"/>
    <s v="Female"/>
    <s v="Sports and travel"/>
    <n v="29.61"/>
    <n v="7"/>
    <n v="10.3635"/>
    <n v="217.6335"/>
    <d v="2019-11-03T00:00:00"/>
    <d v="1899-12-30T15:53:00"/>
    <s v="Cash"/>
    <n v="207.27"/>
    <n v="4.7619047620000003"/>
    <n v="10.3635"/>
    <n v="6.5"/>
    <x v="2"/>
    <n v="4.7619047619047619"/>
    <s v="Average"/>
    <m/>
    <x v="0"/>
  </r>
  <r>
    <x v="215"/>
    <s v="Alex"/>
    <s v="Yangon"/>
    <s v="Normal"/>
    <s v="Male"/>
    <s v="Home and lifestyle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  <x v="2"/>
    <n v="4.7619047619047628"/>
    <s v="Good"/>
    <m/>
    <x v="0"/>
  </r>
  <r>
    <x v="216"/>
    <s v="Cairo"/>
    <s v="Mandalay"/>
    <s v="Normal"/>
    <s v="Female"/>
    <s v="Sports and travel"/>
    <n v="24.77"/>
    <n v="5"/>
    <n v="6.1924999999999999"/>
    <n v="130.04249999999999"/>
    <s v="3/24/2019"/>
    <d v="1899-12-30T18:27:00"/>
    <s v="Cash"/>
    <n v="123.85"/>
    <n v="4.7619047620000003"/>
    <n v="6.1924999999999999"/>
    <n v="8.5"/>
    <x v="2"/>
    <n v="4.7619047619047628"/>
    <s v="Excellent"/>
    <m/>
    <x v="0"/>
  </r>
  <r>
    <x v="217"/>
    <s v="Alex"/>
    <s v="Yangon"/>
    <s v="Member"/>
    <s v="Female"/>
    <s v="Electronic accessories"/>
    <n v="94.64"/>
    <n v="3"/>
    <n v="14.196"/>
    <n v="298.11599999999999"/>
    <s v="2/21/2019"/>
    <d v="1899-12-30T16:55:00"/>
    <s v="Cash"/>
    <n v="283.92"/>
    <n v="4.7619047620000003"/>
    <n v="14.196"/>
    <n v="5.5"/>
    <x v="2"/>
    <n v="4.7619047619047628"/>
    <s v="Excellent"/>
    <m/>
    <x v="0"/>
  </r>
  <r>
    <x v="218"/>
    <s v="Cairo"/>
    <s v="Mandalay"/>
    <s v="Normal"/>
    <s v="Male"/>
    <s v="Fashion accessories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  <x v="2"/>
    <n v="4.7619047619047628"/>
    <s v="Average"/>
    <m/>
    <x v="0"/>
  </r>
  <r>
    <x v="219"/>
    <s v="Cairo"/>
    <s v="Mandalay"/>
    <s v="Normal"/>
    <s v="Female"/>
    <s v="Food and beverages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  <x v="1"/>
    <n v="4.7619047619047619"/>
    <s v="Excellent"/>
    <m/>
    <x v="0"/>
  </r>
  <r>
    <x v="220"/>
    <s v="Cairo"/>
    <s v="Mandalay"/>
    <s v="Normal"/>
    <s v="Male"/>
    <s v="Electronic accessories"/>
    <n v="45.35"/>
    <n v="6"/>
    <n v="13.605"/>
    <n v="285.70499999999998"/>
    <s v="1/31/2019"/>
    <d v="1899-12-30T13:44:00"/>
    <s v="Ewallet"/>
    <n v="272.10000000000002"/>
    <n v="4.7619047620000003"/>
    <n v="13.605"/>
    <n v="6.1"/>
    <x v="2"/>
    <n v="4.7619047619047628"/>
    <s v="Good"/>
    <m/>
    <x v="0"/>
  </r>
  <r>
    <x v="221"/>
    <s v="Cairo"/>
    <s v="Mandalay"/>
    <s v="Normal"/>
    <s v="Male"/>
    <s v="Food and beverages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  <x v="2"/>
    <n v="4.7619047619047628"/>
    <s v="Good"/>
    <m/>
    <x v="0"/>
  </r>
  <r>
    <x v="222"/>
    <s v="Giza"/>
    <s v="Naypyitaw"/>
    <s v="Normal"/>
    <s v="Male"/>
    <s v="Electronic accessories"/>
    <n v="11.81"/>
    <n v="5"/>
    <n v="2.9525000000000001"/>
    <n v="62.002499999999998"/>
    <s v="2/17/2019"/>
    <d v="1899-12-30T18:06:00"/>
    <s v="Cash"/>
    <n v="59.05"/>
    <n v="4.7619047620000003"/>
    <n v="2.9525000000000001"/>
    <n v="9.4"/>
    <x v="2"/>
    <n v="4.7619047619047628"/>
    <s v="Average"/>
    <m/>
    <x v="0"/>
  </r>
  <r>
    <x v="223"/>
    <s v="Giza"/>
    <s v="Naypyitaw"/>
    <s v="Member"/>
    <s v="Female"/>
    <s v="Fashion accessories"/>
    <n v="12.54"/>
    <n v="1"/>
    <n v="0.627"/>
    <n v="13.167"/>
    <s v="2/21/2019"/>
    <d v="1899-12-30T12:38:00"/>
    <s v="Cash"/>
    <n v="12.54"/>
    <n v="4.7619047620000003"/>
    <n v="0.627"/>
    <n v="8.1999999999999993"/>
    <x v="2"/>
    <n v="4.7619047619047628"/>
    <s v="Excellent"/>
    <m/>
    <x v="0"/>
  </r>
  <r>
    <x v="224"/>
    <s v="Alex"/>
    <s v="Yangon"/>
    <s v="Normal"/>
    <s v="Male"/>
    <s v="Food and beverages"/>
    <n v="43.25"/>
    <n v="2"/>
    <n v="4.3250000000000002"/>
    <n v="90.825000000000003"/>
    <s v="3/20/2019"/>
    <d v="1899-12-30T15:56:00"/>
    <s v="Cash"/>
    <n v="86.5"/>
    <n v="4.7619047620000003"/>
    <n v="4.3250000000000002"/>
    <n v="6.2"/>
    <x v="2"/>
    <n v="4.7619047619047619"/>
    <s v="Excellent"/>
    <m/>
    <x v="0"/>
  </r>
  <r>
    <x v="225"/>
    <s v="Giza"/>
    <s v="Naypyitaw"/>
    <s v="Member"/>
    <s v="Female"/>
    <s v="Sports and travel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  <x v="2"/>
    <n v="4.7619047619047619"/>
    <s v="Good"/>
    <m/>
    <x v="0"/>
  </r>
  <r>
    <x v="226"/>
    <s v="Cairo"/>
    <s v="Mandalay"/>
    <s v="Member"/>
    <s v="Male"/>
    <s v="Health and beauty"/>
    <n v="69.37"/>
    <n v="9"/>
    <n v="31.2165"/>
    <n v="655.54650000000004"/>
    <s v="1/26/2019"/>
    <d v="1899-12-30T19:14:00"/>
    <s v="Ewallet"/>
    <n v="624.33000000000004"/>
    <n v="4.7619047620000003"/>
    <n v="31.2165"/>
    <n v="4"/>
    <x v="2"/>
    <n v="4.7619047619047619"/>
    <s v="Excellent"/>
    <m/>
    <x v="0"/>
  </r>
  <r>
    <x v="227"/>
    <s v="Giza"/>
    <s v="Naypyitaw"/>
    <s v="Member"/>
    <s v="Male"/>
    <s v="Electronic accessories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  <x v="1"/>
    <n v="4.7619047619047619"/>
    <s v="Average"/>
    <m/>
    <x v="0"/>
  </r>
  <r>
    <x v="228"/>
    <s v="Cairo"/>
    <s v="Mandalay"/>
    <s v="Member"/>
    <s v="Female"/>
    <s v="Electronic accessories"/>
    <n v="90.7"/>
    <n v="6"/>
    <n v="27.21"/>
    <n v="571.41"/>
    <s v="2/26/2019"/>
    <d v="1899-12-30T10:52:00"/>
    <s v="Cash"/>
    <n v="544.20000000000005"/>
    <n v="4.7619047620000003"/>
    <n v="27.21"/>
    <n v="5.3"/>
    <x v="2"/>
    <n v="4.7619047619047628"/>
    <s v="Excellent"/>
    <m/>
    <x v="0"/>
  </r>
  <r>
    <x v="229"/>
    <s v="Alex"/>
    <s v="Yangon"/>
    <s v="Normal"/>
    <s v="Female"/>
    <s v="Home and lifestyle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  <x v="1"/>
    <n v="4.7619047619047628"/>
    <s v="Average"/>
    <m/>
    <x v="0"/>
  </r>
  <r>
    <x v="230"/>
    <s v="Cairo"/>
    <s v="Mandalay"/>
    <s v="Normal"/>
    <s v="Female"/>
    <s v="Fashion accessories"/>
    <n v="81.37"/>
    <n v="2"/>
    <n v="8.1370000000000005"/>
    <n v="170.87700000000001"/>
    <s v="1/26/2019"/>
    <d v="1899-12-30T19:28:00"/>
    <s v="Cash"/>
    <n v="162.74"/>
    <n v="4.7619047620000003"/>
    <n v="8.1370000000000005"/>
    <n v="6.5"/>
    <x v="1"/>
    <n v="4.7619047619047628"/>
    <s v="Good"/>
    <m/>
    <x v="0"/>
  </r>
  <r>
    <x v="231"/>
    <s v="Cairo"/>
    <s v="Mandalay"/>
    <s v="Member"/>
    <s v="Female"/>
    <s v="Electronic accessories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  <x v="2"/>
    <n v="4.7619047619047619"/>
    <s v="Good"/>
    <m/>
    <x v="0"/>
  </r>
  <r>
    <x v="232"/>
    <s v="Cairo"/>
    <s v="Mandalay"/>
    <s v="Normal"/>
    <s v="Female"/>
    <s v="Health and beauty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  <x v="2"/>
    <n v="4.7619047619047628"/>
    <s v="Excellent"/>
    <m/>
    <x v="0"/>
  </r>
  <r>
    <x v="233"/>
    <s v="Cairo"/>
    <s v="Mandalay"/>
    <s v="Member"/>
    <s v="Male"/>
    <s v="Fashion accessories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  <x v="1"/>
    <n v="4.7619047619047619"/>
    <s v="Excellent"/>
    <m/>
    <x v="0"/>
  </r>
  <r>
    <x v="234"/>
    <s v="Alex"/>
    <s v="Yangon"/>
    <s v="Member"/>
    <s v="Male"/>
    <s v="Health and beauty"/>
    <n v="51.94"/>
    <n v="10"/>
    <n v="25.97"/>
    <n v="545.37"/>
    <d v="2019-09-03T00:00:00"/>
    <d v="1899-12-30T18:24:00"/>
    <s v="Ewallet"/>
    <n v="519.4"/>
    <n v="4.7619047620000003"/>
    <n v="25.97"/>
    <n v="6.5"/>
    <x v="2"/>
    <n v="4.7619047619047619"/>
    <s v="Good"/>
    <m/>
    <x v="0"/>
  </r>
  <r>
    <x v="235"/>
    <s v="Alex"/>
    <s v="Yangon"/>
    <s v="Normal"/>
    <s v="Female"/>
    <s v="Sports and travel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  <x v="1"/>
    <n v="4.7619047619047619"/>
    <s v="Good"/>
    <m/>
    <x v="0"/>
  </r>
  <r>
    <x v="236"/>
    <s v="Giza"/>
    <s v="Naypyitaw"/>
    <s v="Normal"/>
    <s v="Male"/>
    <s v="Health and beauty"/>
    <n v="17.41"/>
    <n v="5"/>
    <n v="4.3525"/>
    <n v="91.402500000000003"/>
    <s v="1/28/2019"/>
    <d v="1899-12-30T15:16:00"/>
    <s v="Credit card"/>
    <n v="87.05"/>
    <n v="4.7619047620000003"/>
    <n v="4.3525"/>
    <n v="4.9000000000000004"/>
    <x v="2"/>
    <n v="4.7619047619047628"/>
    <s v="Average"/>
    <m/>
    <x v="0"/>
  </r>
  <r>
    <x v="237"/>
    <s v="Giza"/>
    <s v="Naypyitaw"/>
    <s v="Member"/>
    <s v="Female"/>
    <s v="Fashion accessories"/>
    <n v="44.22"/>
    <n v="5"/>
    <n v="11.055"/>
    <n v="232.155"/>
    <d v="2019-05-03T00:00:00"/>
    <d v="1899-12-30T17:07:00"/>
    <s v="Credit card"/>
    <n v="221.1"/>
    <n v="4.7619047620000003"/>
    <n v="11.055"/>
    <n v="8.6"/>
    <x v="2"/>
    <n v="4.7619047619047619"/>
    <s v="Average"/>
    <m/>
    <x v="0"/>
  </r>
  <r>
    <x v="238"/>
    <s v="Cairo"/>
    <s v="Mandalay"/>
    <s v="Member"/>
    <s v="Female"/>
    <s v="Electronic accessories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  <x v="2"/>
    <n v="4.7619047619047619"/>
    <s v="Excellent"/>
    <m/>
    <x v="0"/>
  </r>
  <r>
    <x v="239"/>
    <s v="Alex"/>
    <s v="Yangon"/>
    <s v="Normal"/>
    <s v="Male"/>
    <s v="Fashion accessories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  <x v="2"/>
    <n v="4.7619047619047628"/>
    <s v="Average"/>
    <m/>
    <x v="0"/>
  </r>
  <r>
    <x v="240"/>
    <s v="Alex"/>
    <s v="Yangon"/>
    <s v="Normal"/>
    <s v="Male"/>
    <s v="Food and beverages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  <x v="2"/>
    <n v="4.7619047619047619"/>
    <s v="Average"/>
    <m/>
    <x v="0"/>
  </r>
  <r>
    <x v="241"/>
    <s v="Alex"/>
    <s v="Yangon"/>
    <s v="Normal"/>
    <s v="Male"/>
    <s v="Health and beauty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  <x v="2"/>
    <n v="4.7619047619047628"/>
    <s v="Average"/>
    <m/>
    <x v="0"/>
  </r>
  <r>
    <x v="242"/>
    <s v="Giza"/>
    <s v="Naypyitaw"/>
    <s v="Member"/>
    <s v="Male"/>
    <s v="Fashion accessories"/>
    <n v="93.2"/>
    <n v="2"/>
    <n v="9.32"/>
    <n v="195.72"/>
    <s v="2/28/2019"/>
    <d v="1899-12-30T18:37:00"/>
    <s v="Credit card"/>
    <n v="186.4"/>
    <n v="4.7619047620000003"/>
    <n v="9.32"/>
    <n v="6"/>
    <x v="2"/>
    <n v="4.7619047619047628"/>
    <s v="Average"/>
    <m/>
    <x v="0"/>
  </r>
  <r>
    <x v="243"/>
    <s v="Alex"/>
    <s v="Yangon"/>
    <s v="Member"/>
    <s v="Male"/>
    <s v="Home and lifestyle"/>
    <n v="62.65"/>
    <n v="4"/>
    <n v="12.53"/>
    <n v="263.13"/>
    <d v="2019-05-01T00:00:00"/>
    <d v="1899-12-30T11:25:00"/>
    <s v="Cash"/>
    <n v="250.6"/>
    <n v="4.7619047620000003"/>
    <n v="12.53"/>
    <n v="4.2"/>
    <x v="2"/>
    <n v="4.7619047619047628"/>
    <s v="Good"/>
    <m/>
    <x v="0"/>
  </r>
  <r>
    <x v="244"/>
    <s v="Cairo"/>
    <s v="Mandalay"/>
    <s v="Normal"/>
    <s v="Male"/>
    <s v="Home and lifestyle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x v="2"/>
    <n v="4.7619047619047619"/>
    <s v="Average"/>
    <m/>
    <x v="0"/>
  </r>
  <r>
    <x v="245"/>
    <s v="Alex"/>
    <s v="Yangon"/>
    <s v="Member"/>
    <s v="Male"/>
    <s v="Home and lifestyle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x v="1"/>
    <n v="4.7619047619047619"/>
    <s v="Excellent"/>
    <m/>
    <x v="0"/>
  </r>
  <r>
    <x v="246"/>
    <s v="Cairo"/>
    <s v="Mandalay"/>
    <s v="Member"/>
    <s v="Female"/>
    <s v="Electronic accessories"/>
    <n v="81.400000000000006"/>
    <n v="3"/>
    <n v="12.21"/>
    <n v="256.41000000000003"/>
    <d v="2019-09-02T00:00:00"/>
    <d v="1899-12-30T19:43:00"/>
    <s v="Cash"/>
    <n v="244.2"/>
    <n v="4.7619047620000003"/>
    <n v="12.21"/>
    <n v="4.8"/>
    <x v="2"/>
    <n v="4.7619047619047628"/>
    <s v="Average"/>
    <m/>
    <x v="0"/>
  </r>
  <r>
    <x v="247"/>
    <s v="Alex"/>
    <s v="Yangon"/>
    <s v="Member"/>
    <s v="Male"/>
    <s v="Fashion accessories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  <x v="2"/>
    <n v="4.7619047619047619"/>
    <s v="Average"/>
    <m/>
    <x v="0"/>
  </r>
  <r>
    <x v="248"/>
    <s v="Alex"/>
    <s v="Yangon"/>
    <s v="Member"/>
    <s v="Male"/>
    <s v="Electronic accessories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  <x v="2"/>
    <n v="4.7619047619047628"/>
    <s v="Good"/>
    <m/>
    <x v="0"/>
  </r>
  <r>
    <x v="249"/>
    <s v="Cairo"/>
    <s v="Mandalay"/>
    <s v="Normal"/>
    <s v="Male"/>
    <s v="Food and beverages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  <x v="2"/>
    <n v="4.7619047619047628"/>
    <s v="Excellent"/>
    <m/>
    <x v="0"/>
  </r>
  <r>
    <x v="250"/>
    <s v="Cairo"/>
    <s v="Mandalay"/>
    <s v="Member"/>
    <s v="Male"/>
    <s v="Food and beverages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x v="1"/>
    <n v="4.7619047619047628"/>
    <s v="Average"/>
    <m/>
    <x v="0"/>
  </r>
  <r>
    <x v="251"/>
    <s v="Giza"/>
    <s v="Naypyitaw"/>
    <s v="Member"/>
    <s v="Male"/>
    <s v="Fashion accessories"/>
    <n v="35.19"/>
    <n v="10"/>
    <n v="17.594999999999999"/>
    <n v="369.495"/>
    <s v="3/17/2019"/>
    <d v="1899-12-30T19:06:00"/>
    <s v="Credit card"/>
    <n v="351.9"/>
    <n v="4.7619047620000003"/>
    <n v="17.594999999999999"/>
    <n v="8.4"/>
    <x v="2"/>
    <n v="4.7619047619047628"/>
    <s v="Good"/>
    <m/>
    <x v="0"/>
  </r>
  <r>
    <x v="252"/>
    <s v="Giza"/>
    <s v="Naypyitaw"/>
    <s v="Normal"/>
    <s v="Female"/>
    <s v="Sports and travel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  <x v="2"/>
    <n v="4.7619047619047619"/>
    <s v="Excellent"/>
    <m/>
    <x v="0"/>
  </r>
  <r>
    <x v="253"/>
    <s v="Alex"/>
    <s v="Yangon"/>
    <s v="Normal"/>
    <s v="Male"/>
    <s v="Home and lifestyle"/>
    <n v="23.75"/>
    <n v="4"/>
    <n v="4.75"/>
    <n v="99.75"/>
    <s v="3/16/2019"/>
    <d v="1899-12-30T11:22:00"/>
    <s v="Cash"/>
    <n v="95"/>
    <n v="4.7619047620000003"/>
    <n v="4.75"/>
    <n v="5.2"/>
    <x v="2"/>
    <n v="4.7619047619047619"/>
    <s v="Good"/>
    <m/>
    <x v="0"/>
  </r>
  <r>
    <x v="254"/>
    <s v="Alex"/>
    <s v="Yangon"/>
    <s v="Member"/>
    <s v="Male"/>
    <s v="Home and lifestyle"/>
    <n v="58.9"/>
    <n v="8"/>
    <n v="23.56"/>
    <n v="494.76"/>
    <d v="2019-06-01T00:00:00"/>
    <d v="1899-12-30T11:23:00"/>
    <s v="Cash"/>
    <n v="471.2"/>
    <n v="4.7619047620000003"/>
    <n v="23.56"/>
    <n v="8.9"/>
    <x v="2"/>
    <n v="4.7619047619047619"/>
    <s v="Average"/>
    <m/>
    <x v="0"/>
  </r>
  <r>
    <x v="255"/>
    <s v="Cairo"/>
    <s v="Mandalay"/>
    <s v="Member"/>
    <s v="Male"/>
    <s v="Fashion accessories"/>
    <n v="32.619999999999997"/>
    <n v="4"/>
    <n v="6.524"/>
    <n v="137.00399999999999"/>
    <s v="1/29/2019"/>
    <d v="1899-12-30T14:12:00"/>
    <s v="Cash"/>
    <n v="130.47999999999999"/>
    <n v="4.7619047620000003"/>
    <n v="6.524"/>
    <n v="9"/>
    <x v="2"/>
    <n v="4.7619047619047619"/>
    <s v="Excellent"/>
    <m/>
    <x v="0"/>
  </r>
  <r>
    <x v="256"/>
    <s v="Alex"/>
    <s v="Yangon"/>
    <s v="Member"/>
    <s v="Male"/>
    <s v="Electronic accessories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  <x v="2"/>
    <n v="4.7619047619047628"/>
    <s v="Excellent"/>
    <m/>
    <x v="0"/>
  </r>
  <r>
    <x v="257"/>
    <s v="Alex"/>
    <s v="Yangon"/>
    <s v="Member"/>
    <s v="Male"/>
    <s v="Home and lifestyle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  <x v="2"/>
    <n v="4.7619047619047619"/>
    <s v="Excellent"/>
    <m/>
    <x v="0"/>
  </r>
  <r>
    <x v="258"/>
    <s v="Alex"/>
    <s v="Yangon"/>
    <s v="Member"/>
    <s v="Male"/>
    <s v="Electronic accessories"/>
    <n v="32.25"/>
    <n v="4"/>
    <n v="6.45"/>
    <n v="135.44999999999999"/>
    <s v="2/13/2019"/>
    <d v="1899-12-30T12:38:00"/>
    <s v="Ewallet"/>
    <n v="129"/>
    <n v="4.7619047620000003"/>
    <n v="6.45"/>
    <n v="6.5"/>
    <x v="2"/>
    <n v="4.7619047619047619"/>
    <s v="Excellent"/>
    <m/>
    <x v="0"/>
  </r>
  <r>
    <x v="259"/>
    <s v="Giza"/>
    <s v="Naypyitaw"/>
    <s v="Member"/>
    <s v="Male"/>
    <s v="Electronic accessories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  <x v="2"/>
    <n v="4.7619047619047628"/>
    <s v="Good"/>
    <m/>
    <x v="0"/>
  </r>
  <r>
    <x v="260"/>
    <s v="Alex"/>
    <s v="Yangon"/>
    <s v="Normal"/>
    <s v="Female"/>
    <s v="Electronic accessories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  <x v="2"/>
    <n v="4.7619047619047628"/>
    <s v="Good"/>
    <m/>
    <x v="0"/>
  </r>
  <r>
    <x v="261"/>
    <s v="Giza"/>
    <s v="Naypyitaw"/>
    <s v="Normal"/>
    <s v="Female"/>
    <s v="Fashion accessories"/>
    <n v="16.45"/>
    <n v="4"/>
    <n v="3.29"/>
    <n v="69.09"/>
    <d v="2019-07-03T00:00:00"/>
    <d v="1899-12-30T14:53:00"/>
    <s v="Ewallet"/>
    <n v="65.8"/>
    <n v="4.7619047620000003"/>
    <n v="3.29"/>
    <n v="5.6"/>
    <x v="1"/>
    <n v="4.7619047619047628"/>
    <s v="Good"/>
    <m/>
    <x v="0"/>
  </r>
  <r>
    <x v="262"/>
    <s v="Cairo"/>
    <s v="Mandalay"/>
    <s v="Member"/>
    <s v="Female"/>
    <s v="Fashion accessories"/>
    <n v="38.299999999999997"/>
    <n v="4"/>
    <n v="7.66"/>
    <n v="160.86000000000001"/>
    <s v="3/13/2019"/>
    <d v="1899-12-30T19:22:00"/>
    <s v="Cash"/>
    <n v="153.19999999999999"/>
    <n v="4.7619047620000003"/>
    <n v="7.66"/>
    <n v="5.7"/>
    <x v="2"/>
    <n v="4.7619047619047619"/>
    <s v="Average"/>
    <m/>
    <x v="0"/>
  </r>
  <r>
    <x v="263"/>
    <s v="Alex"/>
    <s v="Yangon"/>
    <s v="Member"/>
    <s v="Female"/>
    <s v="Sports and travel"/>
    <n v="22.24"/>
    <n v="10"/>
    <n v="11.12"/>
    <n v="233.52"/>
    <d v="2019-09-02T00:00:00"/>
    <d v="1899-12-30T11:00:00"/>
    <s v="Cash"/>
    <n v="222.4"/>
    <n v="4.7619047620000003"/>
    <n v="11.12"/>
    <n v="4.2"/>
    <x v="2"/>
    <n v="4.7619047619047619"/>
    <s v="Average"/>
    <m/>
    <x v="0"/>
  </r>
  <r>
    <x v="264"/>
    <s v="Cairo"/>
    <s v="Mandalay"/>
    <s v="Normal"/>
    <s v="Male"/>
    <s v="Sports and travel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  <x v="2"/>
    <n v="4.7619047619047619"/>
    <s v="Average"/>
    <m/>
    <x v="0"/>
  </r>
  <r>
    <x v="265"/>
    <s v="Alex"/>
    <s v="Yangon"/>
    <s v="Member"/>
    <s v="Female"/>
    <s v="Sports and travel"/>
    <n v="98.4"/>
    <n v="7"/>
    <n v="34.44"/>
    <n v="723.24"/>
    <d v="2019-12-03T00:00:00"/>
    <d v="1899-12-30T12:43:00"/>
    <s v="Credit card"/>
    <n v="688.8"/>
    <n v="4.7619047620000003"/>
    <n v="34.44"/>
    <n v="8.6999999999999993"/>
    <x v="2"/>
    <n v="4.7619047619047628"/>
    <s v="Good"/>
    <m/>
    <x v="0"/>
  </r>
  <r>
    <x v="266"/>
    <s v="Giza"/>
    <s v="Naypyitaw"/>
    <s v="Normal"/>
    <s v="Male"/>
    <s v="Home and lifestyle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  <x v="1"/>
    <n v="4.7619047619047619"/>
    <s v="Excellent"/>
    <m/>
    <x v="0"/>
  </r>
  <r>
    <x v="267"/>
    <s v="Cairo"/>
    <s v="Mandalay"/>
    <s v="Member"/>
    <s v="Female"/>
    <s v="Food and beverages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  <x v="2"/>
    <n v="4.7619047619047628"/>
    <s v="Good"/>
    <m/>
    <x v="0"/>
  </r>
  <r>
    <x v="268"/>
    <s v="Alex"/>
    <s v="Yangon"/>
    <s v="Member"/>
    <s v="Male"/>
    <s v="Home and lifestyle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  <x v="1"/>
    <n v="4.7619047619047619"/>
    <s v="Excellent"/>
    <m/>
    <x v="0"/>
  </r>
  <r>
    <x v="269"/>
    <s v="Alex"/>
    <s v="Yangon"/>
    <s v="Member"/>
    <s v="Female"/>
    <s v="Home and lifestyle"/>
    <n v="35.54"/>
    <n v="10"/>
    <n v="17.77"/>
    <n v="373.17"/>
    <d v="2019-04-01T00:00:00"/>
    <d v="1899-12-30T13:34:00"/>
    <s v="Ewallet"/>
    <n v="355.4"/>
    <n v="4.7619047620000003"/>
    <n v="17.77"/>
    <n v="7"/>
    <x v="2"/>
    <n v="4.7619047619047619"/>
    <s v="Average"/>
    <m/>
    <x v="0"/>
  </r>
  <r>
    <x v="270"/>
    <s v="Cairo"/>
    <s v="Mandalay"/>
    <s v="Normal"/>
    <s v="Female"/>
    <s v="Sports and travel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  <x v="2"/>
    <n v="4.7619047619047619"/>
    <s v="Good"/>
    <m/>
    <x v="0"/>
  </r>
  <r>
    <x v="271"/>
    <s v="Giza"/>
    <s v="Naypyitaw"/>
    <s v="Member"/>
    <s v="Female"/>
    <s v="Health and beauty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  <x v="2"/>
    <n v="4.7619047619047628"/>
    <s v="Good"/>
    <m/>
    <x v="0"/>
  </r>
  <r>
    <x v="272"/>
    <s v="Alex"/>
    <s v="Yangon"/>
    <s v="Member"/>
    <s v="Female"/>
    <s v="Home and lifestyle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  <x v="2"/>
    <n v="4.7619047619047628"/>
    <s v="Excellent"/>
    <m/>
    <x v="0"/>
  </r>
  <r>
    <x v="273"/>
    <s v="Alex"/>
    <s v="Yangon"/>
    <s v="Normal"/>
    <s v="Female"/>
    <s v="Home and lifestyle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  <x v="2"/>
    <n v="4.7619047619047619"/>
    <s v="Excellent"/>
    <m/>
    <x v="0"/>
  </r>
  <r>
    <x v="274"/>
    <s v="Cairo"/>
    <s v="Mandalay"/>
    <s v="Normal"/>
    <s v="Female"/>
    <s v="Health and beauty"/>
    <n v="99.71"/>
    <n v="6"/>
    <n v="29.913"/>
    <n v="628.173"/>
    <s v="2/26/2019"/>
    <d v="1899-12-30T16:52:00"/>
    <s v="Ewallet"/>
    <n v="598.26"/>
    <n v="4.7619047620000003"/>
    <n v="29.913"/>
    <n v="7.9"/>
    <x v="2"/>
    <n v="4.7619047619047619"/>
    <s v="Average"/>
    <m/>
    <x v="0"/>
  </r>
  <r>
    <x v="275"/>
    <s v="Cairo"/>
    <s v="Mandalay"/>
    <s v="Normal"/>
    <s v="Male"/>
    <s v="Fashion accessories"/>
    <n v="47.97"/>
    <n v="7"/>
    <n v="16.7895"/>
    <n v="352.5795"/>
    <d v="2019-07-01T00:00:00"/>
    <d v="1899-12-30T20:52:00"/>
    <s v="Cash"/>
    <n v="335.79"/>
    <n v="4.7619047620000003"/>
    <n v="16.7895"/>
    <n v="6.2"/>
    <x v="1"/>
    <n v="4.7619047619047619"/>
    <s v="Good"/>
    <m/>
    <x v="0"/>
  </r>
  <r>
    <x v="276"/>
    <s v="Giza"/>
    <s v="Naypyitaw"/>
    <s v="Member"/>
    <s v="Female"/>
    <s v="Home and lifestyle"/>
    <n v="21.82"/>
    <n v="10"/>
    <n v="10.91"/>
    <n v="229.11"/>
    <d v="2019-07-01T00:00:00"/>
    <d v="1899-12-30T17:36:00"/>
    <s v="Cash"/>
    <n v="218.2"/>
    <n v="4.7619047620000003"/>
    <n v="10.91"/>
    <n v="7.1"/>
    <x v="2"/>
    <n v="4.7619047619047628"/>
    <s v="Good"/>
    <m/>
    <x v="0"/>
  </r>
  <r>
    <x v="277"/>
    <s v="Giza"/>
    <s v="Naypyitaw"/>
    <s v="Normal"/>
    <s v="Female"/>
    <s v="Fashion accessories"/>
    <n v="95.42"/>
    <n v="4"/>
    <n v="19.084"/>
    <n v="400.76400000000001"/>
    <d v="2019-02-02T00:00:00"/>
    <d v="1899-12-30T13:23:00"/>
    <s v="Ewallet"/>
    <n v="381.68"/>
    <n v="4.7619047620000003"/>
    <n v="19.084"/>
    <n v="6.4"/>
    <x v="2"/>
    <n v="4.7619047619047619"/>
    <s v="Good"/>
    <m/>
    <x v="0"/>
  </r>
  <r>
    <x v="278"/>
    <s v="Giza"/>
    <s v="Naypyitaw"/>
    <s v="Member"/>
    <s v="Male"/>
    <s v="Fashion accessories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  <x v="2"/>
    <n v="4.7619047619047619"/>
    <s v="Good"/>
    <m/>
    <x v="0"/>
  </r>
  <r>
    <x v="279"/>
    <s v="Alex"/>
    <s v="Yangon"/>
    <s v="Member"/>
    <s v="Male"/>
    <s v="Sports and travel"/>
    <n v="44.02"/>
    <n v="10"/>
    <n v="22.01"/>
    <n v="462.21"/>
    <s v="3/20/2019"/>
    <d v="1899-12-30T19:57:00"/>
    <s v="Credit card"/>
    <n v="440.2"/>
    <n v="4.7619047620000003"/>
    <n v="22.01"/>
    <n v="9.6"/>
    <x v="1"/>
    <n v="4.7619047619047619"/>
    <s v="Average"/>
    <m/>
    <x v="0"/>
  </r>
  <r>
    <x v="280"/>
    <s v="Alex"/>
    <s v="Yangon"/>
    <s v="Normal"/>
    <s v="Female"/>
    <s v="Home and lifestyle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  <x v="2"/>
    <n v="4.7619047619047628"/>
    <s v="Excellent"/>
    <m/>
    <x v="0"/>
  </r>
  <r>
    <x v="281"/>
    <s v="Giza"/>
    <s v="Naypyitaw"/>
    <s v="Normal"/>
    <s v="Male"/>
    <s v="Home and lifestyle"/>
    <n v="37"/>
    <n v="1"/>
    <n v="1.85"/>
    <n v="38.85"/>
    <d v="2019-06-03T00:00:00"/>
    <d v="1899-12-30T13:29:00"/>
    <s v="Credit card"/>
    <n v="37"/>
    <n v="4.7619047620000003"/>
    <n v="1.85"/>
    <n v="7.9"/>
    <x v="1"/>
    <n v="4.7619047619047628"/>
    <s v="Good"/>
    <m/>
    <x v="0"/>
  </r>
  <r>
    <x v="282"/>
    <s v="Alex"/>
    <s v="Yangon"/>
    <s v="Normal"/>
    <s v="Female"/>
    <s v="Sports and travel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  <x v="2"/>
    <n v="4.7619047619047619"/>
    <s v="Good"/>
    <m/>
    <x v="0"/>
  </r>
  <r>
    <x v="283"/>
    <s v="Alex"/>
    <s v="Yangon"/>
    <s v="Member"/>
    <s v="Male"/>
    <s v="Health and beauty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  <x v="2"/>
    <n v="4.7619047619047628"/>
    <s v="Good"/>
    <m/>
    <x v="0"/>
  </r>
  <r>
    <x v="284"/>
    <s v="Alex"/>
    <s v="Yangon"/>
    <s v="Member"/>
    <s v="Female"/>
    <s v="Health and beauty"/>
    <n v="47.67"/>
    <n v="4"/>
    <n v="9.5340000000000007"/>
    <n v="200.214"/>
    <d v="2019-12-03T00:00:00"/>
    <d v="1899-12-30T14:21:00"/>
    <s v="Cash"/>
    <n v="190.68"/>
    <n v="4.7619047620000003"/>
    <n v="9.5340000000000007"/>
    <n v="9.1"/>
    <x v="1"/>
    <n v="4.7619047619047628"/>
    <s v="Excellent"/>
    <m/>
    <x v="0"/>
  </r>
  <r>
    <x v="285"/>
    <s v="Cairo"/>
    <s v="Mandalay"/>
    <s v="Normal"/>
    <s v="Male"/>
    <s v="Health and beauty"/>
    <n v="66.680000000000007"/>
    <n v="5"/>
    <n v="16.670000000000002"/>
    <n v="350.07"/>
    <s v="2/20/2019"/>
    <d v="1899-12-30T18:01:00"/>
    <s v="Cash"/>
    <n v="333.4"/>
    <n v="4.7619047620000003"/>
    <n v="16.670000000000002"/>
    <n v="7.6"/>
    <x v="2"/>
    <n v="4.7619047619047628"/>
    <s v="Excellent"/>
    <m/>
    <x v="0"/>
  </r>
  <r>
    <x v="286"/>
    <s v="Giza"/>
    <s v="Naypyitaw"/>
    <s v="Member"/>
    <s v="Male"/>
    <s v="Home and lifestyle"/>
    <n v="74.86"/>
    <n v="1"/>
    <n v="3.7429999999999999"/>
    <n v="78.602999999999994"/>
    <s v="3/24/2019"/>
    <d v="1899-12-30T14:49:00"/>
    <s v="Cash"/>
    <n v="74.86"/>
    <n v="4.7619047620000003"/>
    <n v="3.7429999999999999"/>
    <n v="6.9"/>
    <x v="2"/>
    <n v="4.7619047619047628"/>
    <s v="Good"/>
    <m/>
    <x v="0"/>
  </r>
  <r>
    <x v="287"/>
    <s v="Giza"/>
    <s v="Naypyitaw"/>
    <s v="Normal"/>
    <s v="Female"/>
    <s v="Sports and travel"/>
    <n v="23.75"/>
    <n v="9"/>
    <n v="10.6875"/>
    <n v="224.4375"/>
    <s v="1/31/2019"/>
    <d v="1899-12-30T12:02:00"/>
    <s v="Cash"/>
    <n v="213.75"/>
    <n v="4.7619047620000003"/>
    <n v="10.6875"/>
    <n v="9.5"/>
    <x v="2"/>
    <n v="4.7619047619047628"/>
    <s v="Good"/>
    <m/>
    <x v="0"/>
  </r>
  <r>
    <x v="288"/>
    <s v="Cairo"/>
    <s v="Mandalay"/>
    <s v="Normal"/>
    <s v="Female"/>
    <s v="Food and beverages"/>
    <n v="48.51"/>
    <n v="7"/>
    <n v="16.9785"/>
    <n v="356.54849999999999"/>
    <s v="1/25/2019"/>
    <d v="1899-12-30T13:30:00"/>
    <s v="Credit card"/>
    <n v="339.57"/>
    <n v="4.7619047620000003"/>
    <n v="16.9785"/>
    <n v="5.2"/>
    <x v="2"/>
    <n v="4.7619047619047619"/>
    <s v="Excellent"/>
    <m/>
    <x v="0"/>
  </r>
  <r>
    <x v="289"/>
    <s v="Alex"/>
    <s v="Yangon"/>
    <s v="Member"/>
    <s v="Female"/>
    <s v="Home and lifestyle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  <x v="2"/>
    <n v="4.7619047619047628"/>
    <s v="Average"/>
    <m/>
    <x v="0"/>
  </r>
  <r>
    <x v="290"/>
    <s v="Cairo"/>
    <s v="Mandalay"/>
    <s v="Member"/>
    <s v="Male"/>
    <s v="Electronic accessories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  <x v="1"/>
    <n v="4.7619047619047619"/>
    <s v="Average"/>
    <m/>
    <x v="0"/>
  </r>
  <r>
    <x v="291"/>
    <s v="Giza"/>
    <s v="Naypyitaw"/>
    <s v="Normal"/>
    <s v="Male"/>
    <s v="Electronic accessories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  <x v="2"/>
    <n v="4.7619047619047619"/>
    <s v="Good"/>
    <m/>
    <x v="0"/>
  </r>
  <r>
    <x v="292"/>
    <s v="Alex"/>
    <s v="Yangon"/>
    <s v="Member"/>
    <s v="Female"/>
    <s v="Electronic accessories"/>
    <n v="62.48"/>
    <n v="1"/>
    <n v="3.1240000000000001"/>
    <n v="65.603999999999999"/>
    <s v="2/18/2019"/>
    <d v="1899-12-30T20:29:00"/>
    <s v="Cash"/>
    <n v="62.48"/>
    <n v="4.7619047620000003"/>
    <n v="3.1240000000000001"/>
    <n v="4.7"/>
    <x v="2"/>
    <n v="4.7619047619047628"/>
    <s v="Good"/>
    <m/>
    <x v="0"/>
  </r>
  <r>
    <x v="293"/>
    <s v="Alex"/>
    <s v="Yangon"/>
    <s v="Member"/>
    <s v="Female"/>
    <s v="Food and beverages"/>
    <n v="36.36"/>
    <n v="2"/>
    <n v="3.6360000000000001"/>
    <n v="76.355999999999995"/>
    <s v="1/21/2019"/>
    <d v="1899-12-30T10:00:00"/>
    <s v="Cash"/>
    <n v="72.72"/>
    <n v="4.7619047620000003"/>
    <n v="3.6360000000000001"/>
    <n v="7.1"/>
    <x v="2"/>
    <n v="4.7619047619047628"/>
    <s v="Average"/>
    <m/>
    <x v="0"/>
  </r>
  <r>
    <x v="294"/>
    <s v="Cairo"/>
    <s v="Mandalay"/>
    <s v="Normal"/>
    <s v="Male"/>
    <s v="Health and beauty"/>
    <n v="18.11"/>
    <n v="10"/>
    <n v="9.0549999999999997"/>
    <n v="190.155"/>
    <s v="3/13/2019"/>
    <d v="1899-12-30T11:46:00"/>
    <s v="Ewallet"/>
    <n v="181.1"/>
    <n v="4.7619047620000003"/>
    <n v="9.0549999999999997"/>
    <n v="5.9"/>
    <x v="2"/>
    <n v="4.7619047619047628"/>
    <s v="Good"/>
    <m/>
    <x v="0"/>
  </r>
  <r>
    <x v="295"/>
    <s v="Giza"/>
    <s v="Naypyitaw"/>
    <s v="Member"/>
    <s v="Female"/>
    <s v="Electronic accessories"/>
    <n v="51.92"/>
    <n v="5"/>
    <n v="12.98"/>
    <n v="272.58"/>
    <d v="2019-03-03T00:00:00"/>
    <d v="1899-12-30T13:42:00"/>
    <s v="Cash"/>
    <n v="259.60000000000002"/>
    <n v="4.7619047620000003"/>
    <n v="12.98"/>
    <n v="7.5"/>
    <x v="2"/>
    <n v="4.7619047619047619"/>
    <s v="Average"/>
    <m/>
    <x v="0"/>
  </r>
  <r>
    <x v="296"/>
    <s v="Giza"/>
    <s v="Naypyitaw"/>
    <s v="Normal"/>
    <s v="Male"/>
    <s v="Electronic accessories"/>
    <n v="28.84"/>
    <n v="4"/>
    <n v="5.7679999999999998"/>
    <n v="121.128"/>
    <s v="3/29/2019"/>
    <d v="1899-12-30T14:44:00"/>
    <s v="Cash"/>
    <n v="115.36"/>
    <n v="4.7619047620000003"/>
    <n v="5.7679999999999998"/>
    <n v="6.4"/>
    <x v="2"/>
    <n v="4.7619047619047628"/>
    <s v="Good"/>
    <m/>
    <x v="0"/>
  </r>
  <r>
    <x v="297"/>
    <s v="Alex"/>
    <s v="Yangon"/>
    <s v="Member"/>
    <s v="Male"/>
    <s v="Home and lifestyle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  <x v="2"/>
    <n v="4.7619047619047619"/>
    <s v="Good"/>
    <m/>
    <x v="0"/>
  </r>
  <r>
    <x v="298"/>
    <s v="Alex"/>
    <s v="Yangon"/>
    <s v="Member"/>
    <s v="Male"/>
    <s v="Home and lifestyle"/>
    <n v="60.01"/>
    <n v="4"/>
    <n v="12.002000000000001"/>
    <n v="252.042"/>
    <s v="1/25/2019"/>
    <d v="1899-12-30T15:54:00"/>
    <s v="Cash"/>
    <n v="240.04"/>
    <n v="4.7619047620000003"/>
    <n v="12.002000000000001"/>
    <n v="4.5"/>
    <x v="2"/>
    <n v="4.7619047619047619"/>
    <s v="Average"/>
    <m/>
    <x v="0"/>
  </r>
  <r>
    <x v="299"/>
    <s v="Giza"/>
    <s v="Naypyitaw"/>
    <s v="Member"/>
    <s v="Female"/>
    <s v="Home and lifestyle"/>
    <n v="88.61"/>
    <n v="1"/>
    <n v="4.4305000000000003"/>
    <n v="93.040499999999994"/>
    <s v="1/19/2019"/>
    <d v="1899-12-30T10:21:00"/>
    <s v="Cash"/>
    <n v="88.61"/>
    <n v="4.7619047620000003"/>
    <n v="4.4305000000000003"/>
    <n v="7.7"/>
    <x v="2"/>
    <n v="4.7619047619047628"/>
    <s v="Average"/>
    <m/>
    <x v="0"/>
  </r>
  <r>
    <x v="300"/>
    <s v="Giza"/>
    <s v="Naypyitaw"/>
    <s v="Normal"/>
    <s v="Male"/>
    <s v="Fashion accessories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  <x v="2"/>
    <n v="4.7619047619047628"/>
    <s v="Good"/>
    <m/>
    <x v="0"/>
  </r>
  <r>
    <x v="301"/>
    <s v="Cairo"/>
    <s v="Mandalay"/>
    <s v="Member"/>
    <s v="Male"/>
    <s v="Health and beauty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  <x v="2"/>
    <n v="4.761904761904761"/>
    <s v="Good"/>
    <m/>
    <x v="0"/>
  </r>
  <r>
    <x v="302"/>
    <s v="Giza"/>
    <s v="Naypyitaw"/>
    <s v="Normal"/>
    <s v="Male"/>
    <s v="Food and beverages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  <x v="2"/>
    <n v="4.761904761904761"/>
    <s v="Average"/>
    <m/>
    <x v="0"/>
  </r>
  <r>
    <x v="303"/>
    <s v="Alex"/>
    <s v="Yangon"/>
    <s v="Normal"/>
    <s v="Female"/>
    <s v="Electronic accessories"/>
    <n v="51.19"/>
    <n v="4"/>
    <n v="10.238"/>
    <n v="214.99799999999999"/>
    <s v="3/18/2019"/>
    <d v="1899-12-30T17:15:00"/>
    <s v="Credit card"/>
    <n v="204.76"/>
    <n v="4.7619047620000003"/>
    <n v="10.238"/>
    <n v="4.7"/>
    <x v="2"/>
    <n v="4.7619047619047619"/>
    <s v="Average"/>
    <m/>
    <x v="0"/>
  </r>
  <r>
    <x v="304"/>
    <s v="Cairo"/>
    <s v="Mandalay"/>
    <s v="Normal"/>
    <s v="Female"/>
    <s v="Electronic accessories"/>
    <n v="14.96"/>
    <n v="8"/>
    <n v="5.984"/>
    <n v="125.664"/>
    <s v="2/23/2019"/>
    <d v="1899-12-30T12:29:00"/>
    <s v="Cash"/>
    <n v="119.68"/>
    <n v="4.7619047620000003"/>
    <n v="5.984"/>
    <n v="8.6"/>
    <x v="2"/>
    <n v="4.7619047619047619"/>
    <s v="Average"/>
    <m/>
    <x v="0"/>
  </r>
  <r>
    <x v="305"/>
    <s v="Alex"/>
    <s v="Yangon"/>
    <s v="Member"/>
    <s v="Male"/>
    <s v="Electronic accessories"/>
    <n v="72.2"/>
    <n v="7"/>
    <n v="25.27"/>
    <n v="530.66999999999996"/>
    <s v="3/26/2019"/>
    <d v="1899-12-30T20:14:00"/>
    <s v="Ewallet"/>
    <n v="505.4"/>
    <n v="4.7619047620000003"/>
    <n v="25.27"/>
    <n v="4.3"/>
    <x v="2"/>
    <n v="4.7619047619047619"/>
    <s v="Excellent"/>
    <m/>
    <x v="0"/>
  </r>
  <r>
    <x v="306"/>
    <s v="Alex"/>
    <s v="Yangon"/>
    <s v="Normal"/>
    <s v="Female"/>
    <s v="Sports and travel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  <x v="1"/>
    <n v="4.7619047619047628"/>
    <s v="Average"/>
    <m/>
    <x v="0"/>
  </r>
  <r>
    <x v="307"/>
    <s v="Alex"/>
    <s v="Yangon"/>
    <s v="Member"/>
    <s v="Female"/>
    <s v="Home and lifestyle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  <x v="2"/>
    <n v="4.7619047619047628"/>
    <s v="Excellent"/>
    <m/>
    <x v="0"/>
  </r>
  <r>
    <x v="308"/>
    <s v="Alex"/>
    <s v="Yangon"/>
    <s v="Member"/>
    <s v="Female"/>
    <s v="Electronic accessories"/>
    <n v="26.48"/>
    <n v="3"/>
    <n v="3.972"/>
    <n v="83.412000000000006"/>
    <s v="3/21/2019"/>
    <d v="1899-12-30T10:40:00"/>
    <s v="Ewallet"/>
    <n v="79.44"/>
    <n v="4.7619047620000003"/>
    <n v="3.972"/>
    <n v="4.7"/>
    <x v="1"/>
    <n v="4.7619047619047619"/>
    <s v="Average"/>
    <m/>
    <x v="0"/>
  </r>
  <r>
    <x v="309"/>
    <s v="Alex"/>
    <s v="Yangon"/>
    <s v="Normal"/>
    <s v="Female"/>
    <s v="Fashion accessories"/>
    <n v="81.91"/>
    <n v="2"/>
    <n v="8.1910000000000007"/>
    <n v="172.011"/>
    <d v="2019-05-03T00:00:00"/>
    <d v="1899-12-30T17:43:00"/>
    <s v="Cash"/>
    <n v="163.82"/>
    <n v="4.7619047620000003"/>
    <n v="8.1910000000000007"/>
    <n v="7.8"/>
    <x v="2"/>
    <n v="4.7619047619047619"/>
    <s v="Average"/>
    <m/>
    <x v="0"/>
  </r>
  <r>
    <x v="310"/>
    <s v="Cairo"/>
    <s v="Mandalay"/>
    <s v="Member"/>
    <s v="Male"/>
    <s v="Sports and travel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  <x v="2"/>
    <n v="4.7619047619047628"/>
    <s v="Good"/>
    <m/>
    <x v="0"/>
  </r>
  <r>
    <x v="311"/>
    <s v="Giza"/>
    <s v="Naypyitaw"/>
    <s v="Member"/>
    <s v="Male"/>
    <s v="Fashion accessories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  <x v="1"/>
    <n v="4.7619047619047619"/>
    <s v="Average"/>
    <m/>
    <x v="0"/>
  </r>
  <r>
    <x v="312"/>
    <s v="Alex"/>
    <s v="Yangon"/>
    <s v="Member"/>
    <s v="Female"/>
    <s v="Food and beverages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  <x v="2"/>
    <n v="4.7619047619047628"/>
    <s v="Excellent"/>
    <m/>
    <x v="0"/>
  </r>
  <r>
    <x v="313"/>
    <s v="Alex"/>
    <s v="Yangon"/>
    <s v="Member"/>
    <s v="Female"/>
    <s v="Health and beauty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  <x v="2"/>
    <n v="4.7619047619047628"/>
    <s v="Average"/>
    <m/>
    <x v="0"/>
  </r>
  <r>
    <x v="314"/>
    <s v="Giza"/>
    <s v="Naypyitaw"/>
    <s v="Member"/>
    <s v="Female"/>
    <s v="Electronic accessories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  <x v="2"/>
    <n v="4.7619047619047619"/>
    <s v="Average"/>
    <m/>
    <x v="0"/>
  </r>
  <r>
    <x v="315"/>
    <s v="Giza"/>
    <s v="Naypyitaw"/>
    <s v="Member"/>
    <s v="Male"/>
    <s v="Food and beverages"/>
    <n v="99.37"/>
    <n v="2"/>
    <n v="9.9369999999999994"/>
    <n v="208.67699999999999"/>
    <s v="2/14/2019"/>
    <d v="1899-12-30T17:29:00"/>
    <s v="Cash"/>
    <n v="198.74"/>
    <n v="4.7619047620000003"/>
    <n v="9.9369999999999994"/>
    <n v="5.2"/>
    <x v="1"/>
    <n v="4.7619047619047619"/>
    <s v="Average"/>
    <m/>
    <x v="0"/>
  </r>
  <r>
    <x v="316"/>
    <s v="Giza"/>
    <s v="Naypyitaw"/>
    <s v="Member"/>
    <s v="Female"/>
    <s v="Food and beverages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  <x v="2"/>
    <n v="4.7619047619047619"/>
    <s v="Average"/>
    <m/>
    <x v="0"/>
  </r>
  <r>
    <x v="317"/>
    <s v="Giza"/>
    <s v="Naypyitaw"/>
    <s v="Member"/>
    <s v="Male"/>
    <s v="Electronic accessories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  <x v="2"/>
    <n v="4.7619047619047619"/>
    <s v="Good"/>
    <m/>
    <x v="0"/>
  </r>
  <r>
    <x v="318"/>
    <s v="Giza"/>
    <s v="Naypyitaw"/>
    <s v="Member"/>
    <s v="Female"/>
    <s v="Health and beauty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  <x v="2"/>
    <n v="4.7619047619047628"/>
    <s v="Average"/>
    <m/>
    <x v="0"/>
  </r>
  <r>
    <x v="319"/>
    <s v="Giza"/>
    <s v="Naypyitaw"/>
    <s v="Member"/>
    <s v="Male"/>
    <s v="Health and beauty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  <x v="2"/>
    <n v="4.7619047619047619"/>
    <s v="Excellent"/>
    <m/>
    <x v="0"/>
  </r>
  <r>
    <x v="320"/>
    <s v="Giza"/>
    <s v="Naypyitaw"/>
    <s v="Normal"/>
    <s v="Female"/>
    <s v="Food and beverages"/>
    <n v="22.93"/>
    <n v="9"/>
    <n v="10.3185"/>
    <n v="216.6885"/>
    <s v="2/26/2019"/>
    <d v="1899-12-30T20:26:00"/>
    <s v="Cash"/>
    <n v="206.37"/>
    <n v="4.7619047620000003"/>
    <n v="10.3185"/>
    <n v="5.5"/>
    <x v="2"/>
    <n v="4.7619047619047628"/>
    <s v="Excellent"/>
    <m/>
    <x v="0"/>
  </r>
  <r>
    <x v="321"/>
    <s v="Giza"/>
    <s v="Naypyitaw"/>
    <s v="Normal"/>
    <s v="Female"/>
    <s v="Health and beauty"/>
    <n v="39.42"/>
    <n v="1"/>
    <n v="1.9710000000000001"/>
    <n v="41.390999999999998"/>
    <s v="1/18/2019"/>
    <d v="1899-12-30T15:08:00"/>
    <s v="Cash"/>
    <n v="39.42"/>
    <n v="4.7619047620000003"/>
    <n v="1.9710000000000001"/>
    <n v="8.4"/>
    <x v="2"/>
    <n v="4.7619047619047619"/>
    <s v="Average"/>
    <m/>
    <x v="0"/>
  </r>
  <r>
    <x v="322"/>
    <s v="Alex"/>
    <s v="Yangon"/>
    <s v="Normal"/>
    <s v="Male"/>
    <s v="Health and beauty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  <x v="2"/>
    <n v="4.7619047619047628"/>
    <s v="Excellent"/>
    <m/>
    <x v="0"/>
  </r>
  <r>
    <x v="323"/>
    <s v="Alex"/>
    <s v="Yangon"/>
    <s v="Normal"/>
    <s v="Female"/>
    <s v="Fashion accessories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  <x v="2"/>
    <n v="4.7619047619047619"/>
    <s v="Excellent"/>
    <m/>
    <x v="0"/>
  </r>
  <r>
    <x v="324"/>
    <s v="Alex"/>
    <s v="Yangon"/>
    <s v="Normal"/>
    <s v="Male"/>
    <s v="Home and lifestyle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  <x v="2"/>
    <n v="4.7619047619047619"/>
    <s v="Good"/>
    <m/>
    <x v="0"/>
  </r>
  <r>
    <x v="325"/>
    <s v="Cairo"/>
    <s v="Mandalay"/>
    <s v="Normal"/>
    <s v="Male"/>
    <s v="Sports and travel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  <x v="2"/>
    <n v="4.7619047619047628"/>
    <s v="Excellent"/>
    <m/>
    <x v="0"/>
  </r>
  <r>
    <x v="326"/>
    <s v="Alex"/>
    <s v="Yangon"/>
    <s v="Member"/>
    <s v="Male"/>
    <s v="Food and beverages"/>
    <n v="99.78"/>
    <n v="5"/>
    <n v="24.945"/>
    <n v="523.84500000000003"/>
    <d v="2019-09-03T00:00:00"/>
    <d v="1899-12-30T19:09:00"/>
    <s v="Cash"/>
    <n v="498.9"/>
    <n v="4.7619047620000003"/>
    <n v="24.945"/>
    <n v="5.4"/>
    <x v="2"/>
    <n v="4.7619047619047619"/>
    <s v="Good"/>
    <m/>
    <x v="0"/>
  </r>
  <r>
    <x v="327"/>
    <s v="Giza"/>
    <s v="Naypyitaw"/>
    <s v="Member"/>
    <s v="Male"/>
    <s v="Food and beverages"/>
    <n v="94.26"/>
    <n v="4"/>
    <n v="18.852"/>
    <n v="395.892"/>
    <d v="2019-12-03T00:00:00"/>
    <d v="1899-12-30T16:30:00"/>
    <s v="Cash"/>
    <n v="377.04"/>
    <n v="4.7619047620000003"/>
    <n v="18.852"/>
    <n v="8.6"/>
    <x v="1"/>
    <n v="4.7619047619047619"/>
    <s v="Average"/>
    <m/>
    <x v="0"/>
  </r>
  <r>
    <x v="328"/>
    <s v="Cairo"/>
    <s v="Mandalay"/>
    <s v="Member"/>
    <s v="Male"/>
    <s v="Health and beauty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  <x v="2"/>
    <n v="4.7619047619047628"/>
    <s v="Excellent"/>
    <m/>
    <x v="0"/>
  </r>
  <r>
    <x v="329"/>
    <s v="Alex"/>
    <s v="Yangon"/>
    <s v="Member"/>
    <s v="Male"/>
    <s v="Electronic accessories"/>
    <n v="36.36"/>
    <n v="4"/>
    <n v="7.2720000000000002"/>
    <n v="152.71199999999999"/>
    <s v="3/25/2019"/>
    <d v="1899-12-30T13:07:00"/>
    <s v="Cash"/>
    <n v="145.44"/>
    <n v="4.7619047620000003"/>
    <n v="7.2720000000000002"/>
    <n v="7.6"/>
    <x v="2"/>
    <n v="4.7619047619047628"/>
    <s v="Average"/>
    <m/>
    <x v="0"/>
  </r>
  <r>
    <x v="330"/>
    <s v="Cairo"/>
    <s v="Mandalay"/>
    <s v="Normal"/>
    <s v="Male"/>
    <s v="Home and lifestyle"/>
    <n v="22.02"/>
    <n v="9"/>
    <n v="9.9090000000000007"/>
    <n v="208.089"/>
    <d v="2019-07-02T00:00:00"/>
    <d v="1899-12-30T18:48:00"/>
    <s v="Cash"/>
    <n v="198.18"/>
    <n v="4.7619047620000003"/>
    <n v="9.9090000000000007"/>
    <n v="6.8"/>
    <x v="2"/>
    <n v="4.7619047619047628"/>
    <s v="Good"/>
    <m/>
    <x v="0"/>
  </r>
  <r>
    <x v="331"/>
    <s v="Alex"/>
    <s v="Yangon"/>
    <s v="Normal"/>
    <s v="Male"/>
    <s v="Food and beverages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  <x v="2"/>
    <n v="4.7619047619047628"/>
    <s v="Good"/>
    <m/>
    <x v="0"/>
  </r>
  <r>
    <x v="332"/>
    <s v="Alex"/>
    <s v="Yangon"/>
    <s v="Normal"/>
    <s v="Male"/>
    <s v="Fashion accessories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  <x v="2"/>
    <n v="4.761904761904761"/>
    <s v="Excellent"/>
    <m/>
    <x v="0"/>
  </r>
  <r>
    <x v="333"/>
    <s v="Alex"/>
    <s v="Yangon"/>
    <s v="Member"/>
    <s v="Male"/>
    <s v="Food and beverages"/>
    <n v="23.48"/>
    <n v="2"/>
    <n v="2.3479999999999999"/>
    <n v="49.308"/>
    <s v="3/14/2019"/>
    <d v="1899-12-30T11:21:00"/>
    <s v="Credit card"/>
    <n v="46.96"/>
    <n v="4.7619047620000003"/>
    <n v="2.3479999999999999"/>
    <n v="7.9"/>
    <x v="2"/>
    <n v="4.7619047619047619"/>
    <s v="Average"/>
    <m/>
    <x v="0"/>
  </r>
  <r>
    <x v="334"/>
    <s v="Giza"/>
    <s v="Naypyitaw"/>
    <s v="Member"/>
    <s v="Male"/>
    <s v="Sports and travel"/>
    <n v="14.7"/>
    <n v="5"/>
    <n v="3.6749999999999998"/>
    <n v="77.174999999999997"/>
    <s v="3/24/2019"/>
    <d v="1899-12-30T13:48:00"/>
    <s v="Ewallet"/>
    <n v="73.5"/>
    <n v="4.7619047620000003"/>
    <n v="3.6749999999999998"/>
    <n v="8.5"/>
    <x v="2"/>
    <n v="4.7619047619047619"/>
    <s v="Good"/>
    <m/>
    <x v="0"/>
  </r>
  <r>
    <x v="335"/>
    <s v="Alex"/>
    <s v="Yangon"/>
    <s v="Member"/>
    <s v="Female"/>
    <s v="Electronic accessories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  <x v="2"/>
    <n v="4.7619047619047619"/>
    <s v="Excellent"/>
    <m/>
    <x v="0"/>
  </r>
  <r>
    <x v="336"/>
    <s v="Alex"/>
    <s v="Yangon"/>
    <s v="Normal"/>
    <s v="Male"/>
    <s v="Fashion accessories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  <x v="2"/>
    <n v="4.7619047619047619"/>
    <s v="Excellent"/>
    <m/>
    <x v="0"/>
  </r>
  <r>
    <x v="337"/>
    <s v="Cairo"/>
    <s v="Mandalay"/>
    <s v="Normal"/>
    <s v="Female"/>
    <s v="Sports and travel"/>
    <n v="57.95"/>
    <n v="6"/>
    <n v="17.385000000000002"/>
    <n v="365.08499999999998"/>
    <s v="2/24/2019"/>
    <d v="1899-12-30T13:02:00"/>
    <s v="Cash"/>
    <n v="347.7"/>
    <n v="4.7619047620000003"/>
    <n v="17.385000000000002"/>
    <n v="5.2"/>
    <x v="1"/>
    <n v="4.7619047619047628"/>
    <s v="Good"/>
    <m/>
    <x v="0"/>
  </r>
  <r>
    <x v="338"/>
    <s v="Giza"/>
    <s v="Naypyitaw"/>
    <s v="Normal"/>
    <s v="Female"/>
    <s v="Electronic accessories"/>
    <n v="47.65"/>
    <n v="3"/>
    <n v="7.1475"/>
    <n v="150.0975"/>
    <s v="3/28/2019"/>
    <d v="1899-12-30T12:58:00"/>
    <s v="Credit card"/>
    <n v="142.94999999999999"/>
    <n v="4.7619047620000003"/>
    <n v="7.1475"/>
    <n v="9.5"/>
    <x v="2"/>
    <n v="4.7619047619047628"/>
    <s v="Average"/>
    <m/>
    <x v="0"/>
  </r>
  <r>
    <x v="339"/>
    <s v="Cairo"/>
    <s v="Mandalay"/>
    <s v="Member"/>
    <s v="Female"/>
    <s v="Food and beverages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  <x v="2"/>
    <n v="4.7619047619047628"/>
    <s v="Excellent"/>
    <m/>
    <x v="0"/>
  </r>
  <r>
    <x v="340"/>
    <s v="Cairo"/>
    <s v="Mandalay"/>
    <s v="Member"/>
    <s v="Male"/>
    <s v="Electronic accessories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  <x v="2"/>
    <n v="4.7619047619047619"/>
    <s v="Excellent"/>
    <m/>
    <x v="0"/>
  </r>
  <r>
    <x v="341"/>
    <s v="Cairo"/>
    <s v="Mandalay"/>
    <s v="Member"/>
    <s v="Female"/>
    <s v="Health and beauty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  <x v="2"/>
    <n v="4.7619047619047628"/>
    <s v="Good"/>
    <m/>
    <x v="0"/>
  </r>
  <r>
    <x v="342"/>
    <s v="Cairo"/>
    <s v="Mandalay"/>
    <s v="Member"/>
    <s v="Female"/>
    <s v="Health and beauty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  <x v="2"/>
    <n v="4.7619047619047628"/>
    <s v="Excellent"/>
    <m/>
    <x v="0"/>
  </r>
  <r>
    <x v="343"/>
    <s v="Giza"/>
    <s v="Naypyitaw"/>
    <s v="Normal"/>
    <s v="Female"/>
    <s v="Food and beverages"/>
    <n v="97.03"/>
    <n v="5"/>
    <n v="24.2575"/>
    <n v="509.40750000000003"/>
    <s v="1/30/2019"/>
    <d v="1899-12-30T16:24:00"/>
    <s v="Ewallet"/>
    <n v="485.15"/>
    <n v="4.7619047620000003"/>
    <n v="24.2575"/>
    <n v="9.3000000000000007"/>
    <x v="1"/>
    <n v="4.7619047619047619"/>
    <s v="Good"/>
    <m/>
    <x v="0"/>
  </r>
  <r>
    <x v="344"/>
    <s v="Alex"/>
    <s v="Yangon"/>
    <s v="Normal"/>
    <s v="Male"/>
    <s v="Sports and travel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  <x v="1"/>
    <n v="4.7619047619047619"/>
    <s v="Excellent"/>
    <m/>
    <x v="0"/>
  </r>
  <r>
    <x v="345"/>
    <s v="Alex"/>
    <s v="Yangon"/>
    <s v="Normal"/>
    <s v="Female"/>
    <s v="Fashion accessories"/>
    <n v="77.930000000000007"/>
    <n v="9"/>
    <n v="35.0685"/>
    <n v="736.43849999999998"/>
    <s v="2/27/2019"/>
    <d v="1899-12-30T16:10:00"/>
    <s v="Ewallet"/>
    <n v="701.37"/>
    <n v="4.7619047620000003"/>
    <n v="35.0685"/>
    <n v="7.6"/>
    <x v="2"/>
    <n v="4.7619047619047619"/>
    <s v="Good"/>
    <m/>
    <x v="0"/>
  </r>
  <r>
    <x v="346"/>
    <s v="Alex"/>
    <s v="Yangon"/>
    <s v="Member"/>
    <s v="Male"/>
    <s v="Electronic accessories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  <x v="1"/>
    <n v="4.7619047619047628"/>
    <s v="Good"/>
    <m/>
    <x v="0"/>
  </r>
  <r>
    <x v="347"/>
    <s v="Giza"/>
    <s v="Naypyitaw"/>
    <s v="Member"/>
    <s v="Female"/>
    <s v="Home and lifestyle"/>
    <n v="89.25"/>
    <n v="8"/>
    <n v="35.700000000000003"/>
    <n v="749.7"/>
    <s v="1/20/2019"/>
    <d v="1899-12-30T10:13:00"/>
    <s v="Cash"/>
    <n v="714"/>
    <n v="4.7619047620000003"/>
    <n v="35.700000000000003"/>
    <n v="4.7"/>
    <x v="2"/>
    <n v="4.7619047619047628"/>
    <s v="Good"/>
    <m/>
    <x v="0"/>
  </r>
  <r>
    <x v="348"/>
    <s v="Alex"/>
    <s v="Yangon"/>
    <s v="Normal"/>
    <s v="Male"/>
    <s v="Electronic accessories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  <x v="1"/>
    <n v="4.7619047619047628"/>
    <s v="Average"/>
    <m/>
    <x v="0"/>
  </r>
  <r>
    <x v="349"/>
    <s v="Cairo"/>
    <s v="Mandalay"/>
    <s v="Normal"/>
    <s v="Female"/>
    <s v="Health and beauty"/>
    <n v="13.5"/>
    <n v="10"/>
    <n v="6.75"/>
    <n v="141.75"/>
    <s v="2/27/2019"/>
    <d v="1899-12-30T11:06:00"/>
    <s v="Credit card"/>
    <n v="135"/>
    <n v="4.7619047620000003"/>
    <n v="6.75"/>
    <n v="4.8"/>
    <x v="2"/>
    <n v="4.761904761904761"/>
    <s v="Average"/>
    <m/>
    <x v="0"/>
  </r>
  <r>
    <x v="350"/>
    <s v="Giza"/>
    <s v="Naypyitaw"/>
    <s v="Member"/>
    <s v="Female"/>
    <s v="Fashion accessories"/>
    <n v="99.3"/>
    <n v="10"/>
    <n v="49.65"/>
    <n v="1042.6500000000001"/>
    <s v="2/15/2019"/>
    <d v="1899-12-30T14:53:00"/>
    <s v="Credit card"/>
    <n v="993"/>
    <n v="4.7619047620000003"/>
    <n v="49.65"/>
    <n v="6.6"/>
    <x v="2"/>
    <n v="4.7619047619047619"/>
    <s v="Average"/>
    <m/>
    <x v="0"/>
  </r>
  <r>
    <x v="351"/>
    <s v="Alex"/>
    <s v="Yangon"/>
    <s v="Normal"/>
    <s v="Male"/>
    <s v="Electronic accessories"/>
    <n v="51.69"/>
    <n v="7"/>
    <n v="18.0915"/>
    <n v="379.92149999999998"/>
    <s v="1/26/2019"/>
    <d v="1899-12-30T18:22:00"/>
    <s v="Cash"/>
    <n v="361.83"/>
    <n v="4.7619047620000003"/>
    <n v="18.0915"/>
    <n v="5.5"/>
    <x v="3"/>
    <n v="4.7619047619047619"/>
    <s v="Good"/>
    <m/>
    <x v="0"/>
  </r>
  <r>
    <x v="352"/>
    <s v="Cairo"/>
    <s v="Mandalay"/>
    <s v="Member"/>
    <s v="Female"/>
    <s v="Fashion accessories"/>
    <n v="54.73"/>
    <n v="7"/>
    <n v="19.1555"/>
    <n v="402.26549999999997"/>
    <s v="3/14/2019"/>
    <d v="1899-12-30T19:02:00"/>
    <s v="Credit card"/>
    <n v="383.11"/>
    <n v="4.7619047620000003"/>
    <n v="19.1555"/>
    <n v="8.5"/>
    <x v="2"/>
    <n v="4.7619047619047628"/>
    <s v="Average"/>
    <m/>
    <x v="0"/>
  </r>
  <r>
    <x v="353"/>
    <s v="Cairo"/>
    <s v="Mandalay"/>
    <s v="Member"/>
    <s v="Male"/>
    <s v="Home and lifestyle"/>
    <n v="27"/>
    <n v="9"/>
    <n v="12.15"/>
    <n v="255.15"/>
    <d v="2019-02-03T00:00:00"/>
    <d v="1899-12-30T14:16:00"/>
    <s v="Cash"/>
    <n v="243"/>
    <n v="4.7619047620000003"/>
    <n v="12.15"/>
    <n v="4.8"/>
    <x v="2"/>
    <n v="4.7619047619047628"/>
    <s v="Excellent"/>
    <m/>
    <x v="0"/>
  </r>
  <r>
    <x v="354"/>
    <s v="Giza"/>
    <s v="Naypyitaw"/>
    <s v="Normal"/>
    <s v="Female"/>
    <s v="Electronic accessories"/>
    <n v="30.24"/>
    <n v="1"/>
    <n v="1.512"/>
    <n v="31.751999999999999"/>
    <d v="2019-04-03T00:00:00"/>
    <d v="1899-12-30T15:44:00"/>
    <s v="Cash"/>
    <n v="30.24"/>
    <n v="4.7619047620000003"/>
    <n v="1.512"/>
    <n v="8.4"/>
    <x v="2"/>
    <n v="4.7619047619047619"/>
    <s v="Average"/>
    <m/>
    <x v="0"/>
  </r>
  <r>
    <x v="355"/>
    <s v="Cairo"/>
    <s v="Mandalay"/>
    <s v="Member"/>
    <s v="Female"/>
    <s v="Food and beverages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  <x v="2"/>
    <n v="4.7619047619047628"/>
    <s v="Excellent"/>
    <m/>
    <x v="0"/>
  </r>
  <r>
    <x v="356"/>
    <s v="Giza"/>
    <s v="Naypyitaw"/>
    <s v="Normal"/>
    <s v="Female"/>
    <s v="Fashion accessories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  <x v="2"/>
    <n v="4.7619047619047628"/>
    <s v="Good"/>
    <m/>
    <x v="0"/>
  </r>
  <r>
    <x v="357"/>
    <s v="Giza"/>
    <s v="Naypyitaw"/>
    <s v="Normal"/>
    <s v="Female"/>
    <s v="Sports and travel"/>
    <n v="95.44"/>
    <n v="10"/>
    <n v="47.72"/>
    <n v="1002.12"/>
    <d v="2019-09-01T00:00:00"/>
    <d v="1899-12-30T13:45:00"/>
    <s v="Cash"/>
    <n v="954.4"/>
    <n v="4.7619047620000003"/>
    <n v="47.72"/>
    <n v="5.2"/>
    <x v="2"/>
    <n v="4.7619047619047619"/>
    <s v="Excellent"/>
    <m/>
    <x v="0"/>
  </r>
  <r>
    <x v="358"/>
    <s v="Cairo"/>
    <s v="Mandalay"/>
    <s v="Normal"/>
    <s v="Male"/>
    <s v="Electronic accessories"/>
    <n v="27.5"/>
    <n v="3"/>
    <n v="4.125"/>
    <n v="86.625"/>
    <d v="2019-01-03T00:00:00"/>
    <d v="1899-12-30T15:40:00"/>
    <s v="Ewallet"/>
    <n v="82.5"/>
    <n v="4.7619047620000003"/>
    <n v="4.125"/>
    <n v="6.5"/>
    <x v="3"/>
    <n v="4.7619047619047619"/>
    <s v="Average"/>
    <m/>
    <x v="0"/>
  </r>
  <r>
    <x v="359"/>
    <s v="Cairo"/>
    <s v="Mandalay"/>
    <s v="Normal"/>
    <s v="Male"/>
    <s v="Sports and travel"/>
    <n v="74.97"/>
    <n v="1"/>
    <n v="3.7484999999999999"/>
    <n v="78.718500000000006"/>
    <s v="3/16/2019"/>
    <d v="1899-12-30T16:58:00"/>
    <s v="Cash"/>
    <n v="74.97"/>
    <n v="4.7619047620000003"/>
    <n v="3.7484999999999999"/>
    <n v="5.6"/>
    <x v="2"/>
    <n v="4.7619047619047619"/>
    <s v="Good"/>
    <m/>
    <x v="0"/>
  </r>
  <r>
    <x v="360"/>
    <s v="Alex"/>
    <s v="Yangon"/>
    <s v="Member"/>
    <s v="Male"/>
    <s v="Food and beverages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  <x v="2"/>
    <n v="4.7619047619047619"/>
    <s v="Average"/>
    <m/>
    <x v="0"/>
  </r>
  <r>
    <x v="361"/>
    <s v="Giza"/>
    <s v="Naypyitaw"/>
    <s v="Normal"/>
    <s v="Female"/>
    <s v="Food and beverages"/>
    <n v="94.47"/>
    <n v="8"/>
    <n v="37.787999999999997"/>
    <n v="793.548"/>
    <s v="2/27/2019"/>
    <d v="1899-12-30T15:12:00"/>
    <s v="Cash"/>
    <n v="755.76"/>
    <n v="4.7619047620000003"/>
    <n v="37.787999999999997"/>
    <n v="9.1"/>
    <x v="1"/>
    <n v="4.7619047619047628"/>
    <s v="Good"/>
    <m/>
    <x v="0"/>
  </r>
  <r>
    <x v="362"/>
    <s v="Giza"/>
    <s v="Naypyitaw"/>
    <s v="Normal"/>
    <s v="Male"/>
    <s v="Food and beverages"/>
    <n v="99.79"/>
    <n v="2"/>
    <n v="9.9789999999999992"/>
    <n v="209.559"/>
    <d v="2019-07-03T00:00:00"/>
    <d v="1899-12-30T20:37:00"/>
    <s v="Ewallet"/>
    <n v="199.58"/>
    <n v="4.7619047620000003"/>
    <n v="9.9789999999999992"/>
    <n v="8"/>
    <x v="1"/>
    <n v="4.7619047619047619"/>
    <s v="Excellent"/>
    <m/>
    <x v="0"/>
  </r>
  <r>
    <x v="363"/>
    <s v="Alex"/>
    <s v="Yangon"/>
    <s v="Normal"/>
    <s v="Male"/>
    <s v="Home and lifestyle"/>
    <n v="73.22"/>
    <n v="6"/>
    <n v="21.966000000000001"/>
    <n v="461.286"/>
    <s v="1/21/2019"/>
    <d v="1899-12-30T17:44:00"/>
    <s v="Cash"/>
    <n v="439.32"/>
    <n v="4.7619047620000003"/>
    <n v="21.966000000000001"/>
    <n v="7.2"/>
    <x v="2"/>
    <n v="4.7619047619047619"/>
    <s v="Excellent"/>
    <m/>
    <x v="0"/>
  </r>
  <r>
    <x v="364"/>
    <s v="Giza"/>
    <s v="Naypyitaw"/>
    <s v="Normal"/>
    <s v="Female"/>
    <s v="Food and beverages"/>
    <n v="41.24"/>
    <n v="4"/>
    <n v="8.2479999999999993"/>
    <n v="173.208"/>
    <s v="2/19/2019"/>
    <d v="1899-12-30T16:23:00"/>
    <s v="Cash"/>
    <n v="164.96"/>
    <n v="4.7619047620000003"/>
    <n v="8.2479999999999993"/>
    <n v="7.1"/>
    <x v="2"/>
    <n v="4.7619047619047628"/>
    <s v="Good"/>
    <m/>
    <x v="0"/>
  </r>
  <r>
    <x v="365"/>
    <s v="Giza"/>
    <s v="Naypyitaw"/>
    <s v="Normal"/>
    <s v="Female"/>
    <s v="Fashion accessories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  <x v="2"/>
    <n v="4.7619047619047619"/>
    <s v="Good"/>
    <m/>
    <x v="0"/>
  </r>
  <r>
    <x v="366"/>
    <s v="Giza"/>
    <s v="Naypyitaw"/>
    <s v="Normal"/>
    <s v="Female"/>
    <s v="Electronic accessories"/>
    <n v="51.32"/>
    <n v="9"/>
    <n v="23.094000000000001"/>
    <n v="484.97399999999999"/>
    <s v="3/14/2019"/>
    <d v="1899-12-30T19:33:00"/>
    <s v="Cash"/>
    <n v="461.88"/>
    <n v="4.7619047620000003"/>
    <n v="23.094000000000001"/>
    <n v="5.6"/>
    <x v="2"/>
    <n v="4.7619047619047619"/>
    <s v="Excellent"/>
    <m/>
    <x v="0"/>
  </r>
  <r>
    <x v="367"/>
    <s v="Alex"/>
    <s v="Yangon"/>
    <s v="Member"/>
    <s v="Male"/>
    <s v="Home and lifestyle"/>
    <n v="65.94"/>
    <n v="4"/>
    <n v="13.188000000000001"/>
    <n v="276.94799999999998"/>
    <s v="3/24/2019"/>
    <d v="1899-12-30T10:29:00"/>
    <s v="Cash"/>
    <n v="263.76"/>
    <n v="4.7619047620000003"/>
    <n v="13.188000000000001"/>
    <n v="6"/>
    <x v="2"/>
    <n v="4.7619047619047628"/>
    <s v="Average"/>
    <m/>
    <x v="0"/>
  </r>
  <r>
    <x v="368"/>
    <s v="Giza"/>
    <s v="Naypyitaw"/>
    <s v="Normal"/>
    <s v="Female"/>
    <s v="Sports and travel"/>
    <n v="14.36"/>
    <n v="10"/>
    <n v="7.18"/>
    <n v="150.78"/>
    <s v="1/27/2019"/>
    <d v="1899-12-30T14:28:00"/>
    <s v="Cash"/>
    <n v="143.6"/>
    <n v="4.7619047620000003"/>
    <n v="7.18"/>
    <n v="5.4"/>
    <x v="2"/>
    <n v="4.7619047619047628"/>
    <s v="Good"/>
    <m/>
    <x v="0"/>
  </r>
  <r>
    <x v="369"/>
    <s v="Alex"/>
    <s v="Yangon"/>
    <s v="Member"/>
    <s v="Male"/>
    <s v="Electronic accessories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  <x v="2"/>
    <n v="4.7619047619047619"/>
    <s v="Average"/>
    <m/>
    <x v="0"/>
  </r>
  <r>
    <x v="370"/>
    <s v="Cairo"/>
    <s v="Mandalay"/>
    <s v="Member"/>
    <s v="Female"/>
    <s v="Electronic accessories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x v="2"/>
    <n v="4.7619047619047628"/>
    <s v="Good"/>
    <m/>
    <x v="0"/>
  </r>
  <r>
    <x v="371"/>
    <s v="Cairo"/>
    <s v="Mandalay"/>
    <s v="Normal"/>
    <s v="Female"/>
    <s v="Fashion accessories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  <x v="2"/>
    <n v="4.7619047619047628"/>
    <s v="Excellent"/>
    <m/>
    <x v="0"/>
  </r>
  <r>
    <x v="372"/>
    <s v="Giza"/>
    <s v="Naypyitaw"/>
    <s v="Normal"/>
    <s v="Female"/>
    <s v="Home and lifestyle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  <x v="2"/>
    <n v="4.7619047619047628"/>
    <s v="Average"/>
    <m/>
    <x v="0"/>
  </r>
  <r>
    <x v="373"/>
    <s v="Giza"/>
    <s v="Naypyitaw"/>
    <s v="Normal"/>
    <s v="Male"/>
    <s v="Fashion accessories"/>
    <n v="42.08"/>
    <n v="6"/>
    <n v="12.624000000000001"/>
    <n v="265.10399999999998"/>
    <s v="1/29/2019"/>
    <d v="1899-12-30T12:25:00"/>
    <s v="Cash"/>
    <n v="252.48"/>
    <n v="4.7619047620000003"/>
    <n v="12.624000000000001"/>
    <n v="8.9"/>
    <x v="2"/>
    <n v="4.7619047619047628"/>
    <s v="Average"/>
    <m/>
    <x v="0"/>
  </r>
  <r>
    <x v="374"/>
    <s v="Alex"/>
    <s v="Yangon"/>
    <s v="Normal"/>
    <s v="Female"/>
    <s v="Home and lifestyle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  <x v="2"/>
    <n v="4.7619047619047628"/>
    <s v="Excellent"/>
    <m/>
    <x v="0"/>
  </r>
  <r>
    <x v="375"/>
    <s v="Alex"/>
    <s v="Yangon"/>
    <s v="Member"/>
    <s v="Female"/>
    <s v="Fashion accessories"/>
    <n v="96.7"/>
    <n v="5"/>
    <n v="24.175000000000001"/>
    <n v="507.67500000000001"/>
    <s v="1/14/2019"/>
    <d v="1899-12-30T12:52:00"/>
    <s v="Ewallet"/>
    <n v="483.5"/>
    <n v="4.7619047620000003"/>
    <n v="24.175000000000001"/>
    <n v="7"/>
    <x v="2"/>
    <n v="4.7619047619047619"/>
    <s v="Excellent"/>
    <m/>
    <x v="0"/>
  </r>
  <r>
    <x v="376"/>
    <s v="Cairo"/>
    <s v="Mandalay"/>
    <s v="Member"/>
    <s v="Female"/>
    <s v="Home and lifestyle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  <x v="1"/>
    <n v="4.7619047619047619"/>
    <s v="Good"/>
    <m/>
    <x v="0"/>
  </r>
  <r>
    <x v="377"/>
    <s v="Giza"/>
    <s v="Naypyitaw"/>
    <s v="Normal"/>
    <s v="Male"/>
    <s v="Sports and travel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  <x v="2"/>
    <n v="4.7619047619047619"/>
    <s v="Excellent"/>
    <m/>
    <x v="0"/>
  </r>
  <r>
    <x v="378"/>
    <s v="Giza"/>
    <s v="Naypyitaw"/>
    <s v="Member"/>
    <s v="Male"/>
    <s v="Fashion accessories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  <x v="1"/>
    <n v="4.7619047619047628"/>
    <s v="Excellent"/>
    <m/>
    <x v="0"/>
  </r>
  <r>
    <x v="379"/>
    <s v="Cairo"/>
    <s v="Mandalay"/>
    <s v="Normal"/>
    <s v="Female"/>
    <s v="Electronic accessories"/>
    <n v="23.65"/>
    <n v="4"/>
    <n v="4.7300000000000004"/>
    <n v="99.33"/>
    <s v="1/30/2019"/>
    <d v="1899-12-30T13:32:00"/>
    <s v="Credit card"/>
    <n v="94.6"/>
    <n v="4.7619047620000003"/>
    <n v="4.7300000000000004"/>
    <n v="4"/>
    <x v="2"/>
    <n v="4.7619047619047628"/>
    <s v="Excellent"/>
    <m/>
    <x v="0"/>
  </r>
  <r>
    <x v="380"/>
    <s v="Alex"/>
    <s v="Yangon"/>
    <s v="Member"/>
    <s v="Male"/>
    <s v="Sports and travel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  <x v="2"/>
    <n v="4.7619047619047628"/>
    <s v="Average"/>
    <m/>
    <x v="0"/>
  </r>
  <r>
    <x v="381"/>
    <s v="Giza"/>
    <s v="Naypyitaw"/>
    <s v="Normal"/>
    <s v="Female"/>
    <s v="Electronic accessories"/>
    <n v="26.61"/>
    <n v="2"/>
    <n v="2.661"/>
    <n v="55.881"/>
    <s v="3/19/2019"/>
    <d v="1899-12-30T14:35:00"/>
    <s v="Cash"/>
    <n v="53.22"/>
    <n v="4.7619047620000003"/>
    <n v="2.661"/>
    <n v="4.2"/>
    <x v="2"/>
    <n v="4.7619047619047628"/>
    <s v="Good"/>
    <m/>
    <x v="0"/>
  </r>
  <r>
    <x v="382"/>
    <s v="Cairo"/>
    <s v="Mandalay"/>
    <s v="Normal"/>
    <s v="Female"/>
    <s v="Food and beverages"/>
    <n v="99.69"/>
    <n v="5"/>
    <n v="24.922499999999999"/>
    <n v="523.37249999999995"/>
    <s v="1/14/2019"/>
    <d v="1899-12-30T12:09:00"/>
    <s v="Cash"/>
    <n v="498.45"/>
    <n v="4.7619047620000003"/>
    <n v="24.922499999999999"/>
    <n v="9.9"/>
    <x v="2"/>
    <n v="4.7619047619047619"/>
    <s v="Average"/>
    <m/>
    <x v="0"/>
  </r>
  <r>
    <x v="383"/>
    <s v="Giza"/>
    <s v="Naypyitaw"/>
    <s v="Member"/>
    <s v="Female"/>
    <s v="Food and beverages"/>
    <n v="74.89"/>
    <n v="4"/>
    <n v="14.978"/>
    <n v="314.53800000000001"/>
    <d v="2019-01-03T00:00:00"/>
    <d v="1899-12-30T15:32:00"/>
    <s v="Ewallet"/>
    <n v="299.56"/>
    <n v="4.7619047620000003"/>
    <n v="14.978"/>
    <n v="4.2"/>
    <x v="1"/>
    <n v="4.7619047619047628"/>
    <s v="Excellent"/>
    <m/>
    <x v="0"/>
  </r>
  <r>
    <x v="384"/>
    <s v="Alex"/>
    <s v="Yangon"/>
    <s v="Normal"/>
    <s v="Female"/>
    <s v="Food and beverages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  <x v="2"/>
    <n v="4.7619047619047619"/>
    <s v="Average"/>
    <m/>
    <x v="0"/>
  </r>
  <r>
    <x v="385"/>
    <s v="Cairo"/>
    <s v="Mandalay"/>
    <s v="Member"/>
    <s v="Male"/>
    <s v="Sports and travel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  <x v="2"/>
    <n v="4.7619047619047619"/>
    <s v="Excellent"/>
    <m/>
    <x v="0"/>
  </r>
  <r>
    <x v="386"/>
    <s v="Giza"/>
    <s v="Naypyitaw"/>
    <s v="Normal"/>
    <s v="Male"/>
    <s v="Food and beverages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  <x v="2"/>
    <n v="4.7619047619047619"/>
    <s v="Average"/>
    <m/>
    <x v="0"/>
  </r>
  <r>
    <x v="387"/>
    <s v="Alex"/>
    <s v="Yangon"/>
    <s v="Normal"/>
    <s v="Female"/>
    <s v="Health and beauty"/>
    <n v="32.32"/>
    <n v="10"/>
    <n v="16.16"/>
    <n v="339.36"/>
    <s v="2/20/2019"/>
    <d v="1899-12-30T16:49:00"/>
    <s v="Credit card"/>
    <n v="323.2"/>
    <n v="4.7619047620000003"/>
    <n v="16.16"/>
    <n v="10"/>
    <x v="2"/>
    <n v="4.7619047619047619"/>
    <s v="Good"/>
    <m/>
    <x v="0"/>
  </r>
  <r>
    <x v="388"/>
    <s v="Giza"/>
    <s v="Naypyitaw"/>
    <s v="Member"/>
    <s v="Female"/>
    <s v="Fashion accessories"/>
    <n v="54.07"/>
    <n v="9"/>
    <n v="24.331499999999998"/>
    <n v="510.9615"/>
    <s v="1/27/2019"/>
    <d v="1899-12-30T14:55:00"/>
    <s v="Ewallet"/>
    <n v="486.63"/>
    <n v="4.7619047620000003"/>
    <n v="24.331499999999998"/>
    <n v="9.5"/>
    <x v="2"/>
    <n v="4.7619047619047619"/>
    <s v="Excellent"/>
    <m/>
    <x v="0"/>
  </r>
  <r>
    <x v="389"/>
    <s v="Cairo"/>
    <s v="Mandalay"/>
    <s v="Normal"/>
    <s v="Male"/>
    <s v="Food and beverages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  <x v="1"/>
    <n v="4.7619047619047619"/>
    <s v="Excellent"/>
    <m/>
    <x v="0"/>
  </r>
  <r>
    <x v="390"/>
    <s v="Giza"/>
    <s v="Naypyitaw"/>
    <s v="Member"/>
    <s v="Female"/>
    <s v="Fashion accessories"/>
    <n v="80.48"/>
    <n v="3"/>
    <n v="12.071999999999999"/>
    <n v="253.512"/>
    <s v="2/15/2019"/>
    <d v="1899-12-30T12:31:00"/>
    <s v="Cash"/>
    <n v="241.44"/>
    <n v="4.7619047620000003"/>
    <n v="12.071999999999999"/>
    <n v="8.1"/>
    <x v="2"/>
    <n v="4.7619047619047619"/>
    <s v="Good"/>
    <m/>
    <x v="0"/>
  </r>
  <r>
    <x v="391"/>
    <s v="Cairo"/>
    <s v="Mandalay"/>
    <s v="Normal"/>
    <s v="Female"/>
    <s v="Fashion accessories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  <x v="2"/>
    <n v="4.7619047619047619"/>
    <s v="Excellent"/>
    <m/>
    <x v="0"/>
  </r>
  <r>
    <x v="392"/>
    <s v="Alex"/>
    <s v="Yangon"/>
    <s v="Member"/>
    <s v="Male"/>
    <s v="Electronic accessories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  <x v="2"/>
    <n v="4.7619047619047628"/>
    <s v="Excellent"/>
    <m/>
    <x v="0"/>
  </r>
  <r>
    <x v="393"/>
    <s v="Alex"/>
    <s v="Yangon"/>
    <s v="Member"/>
    <s v="Female"/>
    <s v="Sports and travel"/>
    <n v="52.26"/>
    <n v="10"/>
    <n v="26.13"/>
    <n v="548.73"/>
    <d v="2019-09-03T00:00:00"/>
    <d v="1899-12-30T12:45:00"/>
    <s v="Credit card"/>
    <n v="522.6"/>
    <n v="4.7619047620000003"/>
    <n v="26.13"/>
    <n v="6.2"/>
    <x v="2"/>
    <n v="4.7619047619047628"/>
    <s v="Good"/>
    <m/>
    <x v="0"/>
  </r>
  <r>
    <x v="394"/>
    <s v="Alex"/>
    <s v="Yangon"/>
    <s v="Normal"/>
    <s v="Female"/>
    <s v="Health and beauty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  <x v="1"/>
    <n v="4.7619047619047619"/>
    <s v="Good"/>
    <m/>
    <x v="0"/>
  </r>
  <r>
    <x v="395"/>
    <s v="Alex"/>
    <s v="Yangon"/>
    <s v="Normal"/>
    <s v="Female"/>
    <s v="Health and beauty"/>
    <n v="77.5"/>
    <n v="5"/>
    <n v="19.375"/>
    <n v="406.875"/>
    <s v="1/24/2019"/>
    <d v="1899-12-30T20:36:00"/>
    <s v="Ewallet"/>
    <n v="387.5"/>
    <n v="4.7619047620000003"/>
    <n v="19.375"/>
    <n v="4.3"/>
    <x v="2"/>
    <n v="4.7619047619047619"/>
    <s v="Good"/>
    <m/>
    <x v="0"/>
  </r>
  <r>
    <x v="396"/>
    <s v="Alex"/>
    <s v="Yangon"/>
    <s v="Normal"/>
    <s v="Female"/>
    <s v="Food and beverages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  <x v="2"/>
    <n v="4.7619047619047619"/>
    <s v="Average"/>
    <m/>
    <x v="0"/>
  </r>
  <r>
    <x v="397"/>
    <s v="Cairo"/>
    <s v="Mandalay"/>
    <s v="Normal"/>
    <s v="Male"/>
    <s v="Home and lifestyle"/>
    <n v="13.59"/>
    <n v="9"/>
    <n v="6.1154999999999999"/>
    <n v="128.4255"/>
    <s v="3/15/2019"/>
    <d v="1899-12-30T10:26:00"/>
    <s v="Cash"/>
    <n v="122.31"/>
    <n v="4.7619047620000003"/>
    <n v="6.1154999999999999"/>
    <n v="5.8"/>
    <x v="2"/>
    <n v="4.7619047619047619"/>
    <s v="Average"/>
    <m/>
    <x v="0"/>
  </r>
  <r>
    <x v="398"/>
    <s v="Cairo"/>
    <s v="Mandalay"/>
    <s v="Member"/>
    <s v="Female"/>
    <s v="Health and beauty"/>
    <n v="41.06"/>
    <n v="6"/>
    <n v="12.318"/>
    <n v="258.678"/>
    <d v="2019-05-03T00:00:00"/>
    <d v="1899-12-30T13:30:00"/>
    <s v="Credit card"/>
    <n v="246.36"/>
    <n v="4.7619047620000003"/>
    <n v="12.318"/>
    <n v="8.3000000000000007"/>
    <x v="2"/>
    <n v="4.7619047619047619"/>
    <s v="Average"/>
    <m/>
    <x v="0"/>
  </r>
  <r>
    <x v="399"/>
    <s v="Cairo"/>
    <s v="Mandalay"/>
    <s v="Member"/>
    <s v="Male"/>
    <s v="Electronic accessories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  <x v="2"/>
    <n v="4.7619047619047619"/>
    <s v="Excellent"/>
    <m/>
    <x v="0"/>
  </r>
  <r>
    <x v="400"/>
    <s v="Giza"/>
    <s v="Naypyitaw"/>
    <s v="Normal"/>
    <s v="Female"/>
    <s v="Food and beverages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  <x v="2"/>
    <n v="4.7619047619047619"/>
    <s v="Excellent"/>
    <m/>
    <x v="0"/>
  </r>
  <r>
    <x v="401"/>
    <s v="Giza"/>
    <s v="Naypyitaw"/>
    <s v="Normal"/>
    <s v="Male"/>
    <s v="Home and lifestyle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  <x v="2"/>
    <n v="4.7619047619047628"/>
    <s v="Excellent"/>
    <m/>
    <x v="0"/>
  </r>
  <r>
    <x v="402"/>
    <s v="Giza"/>
    <s v="Naypyitaw"/>
    <s v="Member"/>
    <s v="Male"/>
    <s v="Home and lifestyle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  <x v="2"/>
    <n v="4.7619047619047619"/>
    <s v="Good"/>
    <m/>
    <x v="0"/>
  </r>
  <r>
    <x v="403"/>
    <s v="Cairo"/>
    <s v="Mandalay"/>
    <s v="Normal"/>
    <s v="Female"/>
    <s v="Fashion accessories"/>
    <n v="39.75"/>
    <n v="5"/>
    <n v="9.9375"/>
    <n v="208.6875"/>
    <s v="2/22/2019"/>
    <d v="1899-12-30T10:43:00"/>
    <s v="Ewallet"/>
    <n v="198.75"/>
    <n v="4.7619047620000003"/>
    <n v="9.9375"/>
    <n v="9.6"/>
    <x v="2"/>
    <n v="4.7619047619047619"/>
    <s v="Excellent"/>
    <m/>
    <x v="0"/>
  </r>
  <r>
    <x v="404"/>
    <s v="Giza"/>
    <s v="Naypyitaw"/>
    <s v="Member"/>
    <s v="Female"/>
    <s v="Fashion accessories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  <x v="2"/>
    <n v="4.7619047619047619"/>
    <s v="Excellent"/>
    <m/>
    <x v="0"/>
  </r>
  <r>
    <x v="405"/>
    <s v="Alex"/>
    <s v="Yangon"/>
    <s v="Member"/>
    <s v="Male"/>
    <s v="Sports and travel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  <x v="1"/>
    <n v="4.7619047619047628"/>
    <s v="Average"/>
    <m/>
    <x v="0"/>
  </r>
  <r>
    <x v="406"/>
    <s v="Alex"/>
    <s v="Yangon"/>
    <s v="Normal"/>
    <s v="Male"/>
    <s v="Food and beverages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  <x v="2"/>
    <n v="4.7619047619047619"/>
    <s v="Excellent"/>
    <m/>
    <x v="0"/>
  </r>
  <r>
    <x v="407"/>
    <s v="Cairo"/>
    <s v="Mandalay"/>
    <s v="Member"/>
    <s v="Female"/>
    <s v="Fashion accessories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  <x v="2"/>
    <n v="4.7619047619047628"/>
    <s v="Good"/>
    <m/>
    <x v="0"/>
  </r>
  <r>
    <x v="408"/>
    <s v="Alex"/>
    <s v="Yangon"/>
    <s v="Normal"/>
    <s v="Female"/>
    <s v="Home and lifestyle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  <x v="2"/>
    <n v="4.7619047619047628"/>
    <s v="Average"/>
    <m/>
    <x v="0"/>
  </r>
  <r>
    <x v="409"/>
    <s v="Giza"/>
    <s v="Naypyitaw"/>
    <s v="Normal"/>
    <s v="Female"/>
    <s v="Fashion accessories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  <x v="2"/>
    <n v="4.7619047619047619"/>
    <s v="Average"/>
    <m/>
    <x v="0"/>
  </r>
  <r>
    <x v="410"/>
    <s v="Cairo"/>
    <s v="Mandalay"/>
    <s v="Normal"/>
    <s v="Female"/>
    <s v="Health and beauty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  <x v="2"/>
    <n v="4.7619047619047619"/>
    <s v="Average"/>
    <m/>
    <x v="0"/>
  </r>
  <r>
    <x v="411"/>
    <s v="Cairo"/>
    <s v="Mandalay"/>
    <s v="Normal"/>
    <s v="Male"/>
    <s v="Sports and travel"/>
    <n v="21.87"/>
    <n v="2"/>
    <n v="2.1869999999999998"/>
    <n v="45.927"/>
    <s v="1/25/2019"/>
    <d v="1899-12-30T14:29:00"/>
    <s v="Ewallet"/>
    <n v="43.74"/>
    <n v="4.7619047620000003"/>
    <n v="2.1869999999999998"/>
    <n v="6.9"/>
    <x v="2"/>
    <n v="4.7619047619047628"/>
    <s v="Average"/>
    <m/>
    <x v="0"/>
  </r>
  <r>
    <x v="412"/>
    <s v="Alex"/>
    <s v="Yangon"/>
    <s v="Member"/>
    <s v="Male"/>
    <s v="Health and beauty"/>
    <n v="20.97"/>
    <n v="5"/>
    <n v="5.2424999999999997"/>
    <n v="110.0925"/>
    <d v="2019-04-01T00:00:00"/>
    <d v="1899-12-30T13:21:00"/>
    <s v="Cash"/>
    <n v="104.85"/>
    <n v="4.7619047620000003"/>
    <n v="5.2424999999999997"/>
    <n v="7.8"/>
    <x v="2"/>
    <n v="4.7619047619047619"/>
    <s v="Good"/>
    <m/>
    <x v="0"/>
  </r>
  <r>
    <x v="413"/>
    <s v="Alex"/>
    <s v="Yangon"/>
    <s v="Normal"/>
    <s v="Male"/>
    <s v="Sports and travel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  <x v="2"/>
    <n v="4.7619047619047619"/>
    <s v="Good"/>
    <m/>
    <x v="0"/>
  </r>
  <r>
    <x v="414"/>
    <s v="Alex"/>
    <s v="Yangon"/>
    <s v="Normal"/>
    <s v="Male"/>
    <s v="Home and lifestyle"/>
    <n v="50.93"/>
    <n v="8"/>
    <n v="20.372"/>
    <n v="427.81200000000001"/>
    <s v="3/22/2019"/>
    <d v="1899-12-30T19:36:00"/>
    <s v="Ewallet"/>
    <n v="407.44"/>
    <n v="4.7619047620000003"/>
    <n v="20.372"/>
    <n v="9.1999999999999993"/>
    <x v="2"/>
    <n v="4.7619047619047619"/>
    <s v="Good"/>
    <m/>
    <x v="0"/>
  </r>
  <r>
    <x v="415"/>
    <s v="Cairo"/>
    <s v="Mandalay"/>
    <s v="Normal"/>
    <s v="Male"/>
    <s v="Health and beauty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  <x v="2"/>
    <n v="4.7619047619047619"/>
    <s v="Excellent"/>
    <m/>
    <x v="0"/>
  </r>
  <r>
    <x v="416"/>
    <s v="Giza"/>
    <s v="Naypyitaw"/>
    <s v="Normal"/>
    <s v="Female"/>
    <s v="Home and lifestyle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  <x v="2"/>
    <n v="4.7619047619047628"/>
    <s v="Good"/>
    <m/>
    <x v="0"/>
  </r>
  <r>
    <x v="417"/>
    <s v="Giza"/>
    <s v="Naypyitaw"/>
    <s v="Member"/>
    <s v="Female"/>
    <s v="Health and beauty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  <x v="2"/>
    <n v="4.7619047619047628"/>
    <s v="Excellent"/>
    <m/>
    <x v="0"/>
  </r>
  <r>
    <x v="418"/>
    <s v="Cairo"/>
    <s v="Mandalay"/>
    <s v="Normal"/>
    <s v="Female"/>
    <s v="Health and beauty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  <x v="2"/>
    <n v="4.7619047619047628"/>
    <s v="Excellent"/>
    <m/>
    <x v="0"/>
  </r>
  <r>
    <x v="419"/>
    <s v="Alex"/>
    <s v="Yangon"/>
    <s v="Member"/>
    <s v="Female"/>
    <s v="Electronic accessories"/>
    <n v="25.22"/>
    <n v="7"/>
    <n v="8.827"/>
    <n v="185.36699999999999"/>
    <d v="2019-04-02T00:00:00"/>
    <d v="1899-12-30T10:23:00"/>
    <s v="Cash"/>
    <n v="176.54"/>
    <n v="4.7619047620000003"/>
    <n v="8.827"/>
    <n v="8.1999999999999993"/>
    <x v="2"/>
    <n v="4.7619047619047628"/>
    <s v="Excellent"/>
    <m/>
    <x v="0"/>
  </r>
  <r>
    <x v="420"/>
    <s v="Giza"/>
    <s v="Naypyitaw"/>
    <s v="Member"/>
    <s v="Female"/>
    <s v="Food and beverages"/>
    <n v="38.6"/>
    <n v="3"/>
    <n v="5.79"/>
    <n v="121.59"/>
    <s v="3/28/2019"/>
    <d v="1899-12-30T13:57:00"/>
    <s v="Ewallet"/>
    <n v="115.8"/>
    <n v="4.7619047620000003"/>
    <n v="5.79"/>
    <n v="7.5"/>
    <x v="2"/>
    <n v="4.7619047619047628"/>
    <s v="Excellent"/>
    <m/>
    <x v="0"/>
  </r>
  <r>
    <x v="421"/>
    <s v="Giza"/>
    <s v="Naypyitaw"/>
    <s v="Normal"/>
    <s v="Female"/>
    <s v="Electronic accessories"/>
    <n v="84.05"/>
    <n v="3"/>
    <n v="12.6075"/>
    <n v="264.75749999999999"/>
    <s v="1/23/2019"/>
    <d v="1899-12-30T13:29:00"/>
    <s v="Cash"/>
    <n v="252.15"/>
    <n v="4.7619047620000003"/>
    <n v="12.6075"/>
    <n v="9.8000000000000007"/>
    <x v="2"/>
    <n v="4.7619047619047619"/>
    <s v="Good"/>
    <m/>
    <x v="0"/>
  </r>
  <r>
    <x v="422"/>
    <s v="Giza"/>
    <s v="Naypyitaw"/>
    <s v="Member"/>
    <s v="Female"/>
    <s v="Fashion accessories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  <x v="2"/>
    <n v="4.7619047619047628"/>
    <s v="Excellent"/>
    <m/>
    <x v="0"/>
  </r>
  <r>
    <x v="423"/>
    <s v="Cairo"/>
    <s v="Mandalay"/>
    <s v="Member"/>
    <s v="Male"/>
    <s v="Fashion accessories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  <x v="3"/>
    <n v="4.7619047619047619"/>
    <s v="Excellent"/>
    <m/>
    <x v="0"/>
  </r>
  <r>
    <x v="424"/>
    <s v="Giza"/>
    <s v="Naypyitaw"/>
    <s v="Normal"/>
    <s v="Male"/>
    <s v="Fashion accessories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  <x v="2"/>
    <n v="4.7619047619047619"/>
    <s v="Good"/>
    <m/>
    <x v="0"/>
  </r>
  <r>
    <x v="425"/>
    <s v="Cairo"/>
    <s v="Mandalay"/>
    <s v="Member"/>
    <s v="Male"/>
    <s v="Fashion accessories"/>
    <n v="40.61"/>
    <n v="9"/>
    <n v="18.2745"/>
    <n v="383.7645"/>
    <d v="2019-02-01T00:00:00"/>
    <d v="1899-12-30T13:40:00"/>
    <s v="Cash"/>
    <n v="365.49"/>
    <n v="4.7619047620000003"/>
    <n v="18.2745"/>
    <n v="7"/>
    <x v="2"/>
    <n v="4.761904761904761"/>
    <s v="Average"/>
    <m/>
    <x v="0"/>
  </r>
  <r>
    <x v="426"/>
    <s v="Alex"/>
    <s v="Yangon"/>
    <s v="Member"/>
    <s v="Male"/>
    <s v="Health and beauty"/>
    <n v="53.17"/>
    <n v="7"/>
    <n v="18.609500000000001"/>
    <n v="390.79950000000002"/>
    <s v="1/21/2019"/>
    <d v="1899-12-30T18:01:00"/>
    <s v="Cash"/>
    <n v="372.19"/>
    <n v="4.7619047620000003"/>
    <n v="18.609500000000001"/>
    <n v="8.9"/>
    <x v="2"/>
    <n v="4.7619047619047619"/>
    <s v="Good"/>
    <m/>
    <x v="0"/>
  </r>
  <r>
    <x v="427"/>
    <s v="Cairo"/>
    <s v="Mandalay"/>
    <s v="Member"/>
    <s v="Female"/>
    <s v="Food and beverages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  <x v="2"/>
    <n v="4.7619047619047619"/>
    <s v="Excellent"/>
    <m/>
    <x v="0"/>
  </r>
  <r>
    <x v="428"/>
    <s v="Cairo"/>
    <s v="Mandalay"/>
    <s v="Normal"/>
    <s v="Male"/>
    <s v="Sports and travel"/>
    <n v="67.27"/>
    <n v="5"/>
    <n v="16.817499999999999"/>
    <n v="353.16750000000002"/>
    <s v="2/27/2019"/>
    <d v="1899-12-30T17:27:00"/>
    <s v="Cash"/>
    <n v="336.35"/>
    <n v="4.7619047620000003"/>
    <n v="16.817499999999999"/>
    <n v="6.9"/>
    <x v="2"/>
    <n v="4.7619047619047628"/>
    <s v="Excellent"/>
    <m/>
    <x v="0"/>
  </r>
  <r>
    <x v="429"/>
    <s v="Alex"/>
    <s v="Yangon"/>
    <s v="Member"/>
    <s v="Female"/>
    <s v="Home and lifestyle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  <x v="2"/>
    <n v="4.7619047619047619"/>
    <s v="Good"/>
    <m/>
    <x v="0"/>
  </r>
  <r>
    <x v="430"/>
    <s v="Cairo"/>
    <s v="Mandalay"/>
    <s v="Normal"/>
    <s v="Male"/>
    <s v="Fashion accessories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  <x v="1"/>
    <n v="4.7619047619047619"/>
    <s v="Good"/>
    <m/>
    <x v="0"/>
  </r>
  <r>
    <x v="431"/>
    <s v="Giza"/>
    <s v="Naypyitaw"/>
    <s v="Normal"/>
    <s v="Male"/>
    <s v="Food and beverages"/>
    <n v="43.27"/>
    <n v="2"/>
    <n v="4.327"/>
    <n v="90.867000000000004"/>
    <d v="2019-08-03T00:00:00"/>
    <d v="1899-12-30T16:53:00"/>
    <s v="Ewallet"/>
    <n v="86.54"/>
    <n v="4.7619047620000003"/>
    <n v="4.327"/>
    <n v="5.7"/>
    <x v="2"/>
    <n v="4.7619047619047619"/>
    <s v="Good"/>
    <m/>
    <x v="0"/>
  </r>
  <r>
    <x v="432"/>
    <s v="Alex"/>
    <s v="Yangon"/>
    <s v="Normal"/>
    <s v="Female"/>
    <s v="Electronic accessories"/>
    <n v="23.46"/>
    <n v="6"/>
    <n v="7.0380000000000003"/>
    <n v="147.798"/>
    <s v="1/13/2019"/>
    <d v="1899-12-30T19:14:00"/>
    <s v="Ewallet"/>
    <n v="140.76"/>
    <n v="4.7619047620000003"/>
    <n v="7.0380000000000003"/>
    <n v="6.4"/>
    <x v="2"/>
    <n v="4.7619047619047619"/>
    <s v="Average"/>
    <m/>
    <x v="0"/>
  </r>
  <r>
    <x v="433"/>
    <s v="Cairo"/>
    <s v="Mandalay"/>
    <s v="Normal"/>
    <s v="Male"/>
    <s v="Fashion accessories"/>
    <n v="95.54"/>
    <n v="7"/>
    <n v="33.439"/>
    <n v="702.21900000000005"/>
    <d v="2019-09-03T00:00:00"/>
    <d v="1899-12-30T14:36:00"/>
    <s v="Credit card"/>
    <n v="668.78"/>
    <n v="4.7619047620000003"/>
    <n v="33.439"/>
    <n v="9.6"/>
    <x v="2"/>
    <n v="4.7619047619047628"/>
    <s v="Good"/>
    <m/>
    <x v="0"/>
  </r>
  <r>
    <x v="434"/>
    <s v="Cairo"/>
    <s v="Mandalay"/>
    <s v="Normal"/>
    <s v="Female"/>
    <s v="Fashion accessories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  <x v="1"/>
    <n v="4.7619047619047619"/>
    <s v="Excellent"/>
    <m/>
    <x v="0"/>
  </r>
  <r>
    <x v="435"/>
    <s v="Giza"/>
    <s v="Naypyitaw"/>
    <s v="Normal"/>
    <s v="Male"/>
    <s v="Sports and travel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  <x v="2"/>
    <n v="4.7619047619047619"/>
    <s v="Good"/>
    <m/>
    <x v="0"/>
  </r>
  <r>
    <x v="436"/>
    <s v="Giza"/>
    <s v="Naypyitaw"/>
    <s v="Member"/>
    <s v="Male"/>
    <s v="Sports and travel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  <x v="1"/>
    <n v="4.7619047619047628"/>
    <s v="Excellent"/>
    <m/>
    <x v="0"/>
  </r>
  <r>
    <x v="437"/>
    <s v="Alex"/>
    <s v="Yangon"/>
    <s v="Normal"/>
    <s v="Male"/>
    <s v="Home and lifestyle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  <x v="2"/>
    <n v="4.7619047619047619"/>
    <s v="Excellent"/>
    <m/>
    <x v="0"/>
  </r>
  <r>
    <x v="438"/>
    <s v="Giza"/>
    <s v="Naypyitaw"/>
    <s v="Member"/>
    <s v="Male"/>
    <s v="Food and beverages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  <x v="2"/>
    <n v="4.7619047619047619"/>
    <s v="Good"/>
    <m/>
    <x v="0"/>
  </r>
  <r>
    <x v="439"/>
    <s v="Giza"/>
    <s v="Naypyitaw"/>
    <s v="Normal"/>
    <s v="Female"/>
    <s v="Electronic accessories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  <x v="2"/>
    <n v="4.7619047619047619"/>
    <s v="Good"/>
    <m/>
    <x v="0"/>
  </r>
  <r>
    <x v="440"/>
    <s v="Giza"/>
    <s v="Naypyitaw"/>
    <s v="Member"/>
    <s v="Male"/>
    <s v="Food and beverages"/>
    <n v="17.440000000000001"/>
    <n v="5"/>
    <n v="4.3600000000000003"/>
    <n v="91.56"/>
    <s v="1/15/2019"/>
    <d v="1899-12-30T19:25:00"/>
    <s v="Cash"/>
    <n v="87.2"/>
    <n v="4.7619047620000003"/>
    <n v="4.3600000000000003"/>
    <n v="8.1"/>
    <x v="2"/>
    <n v="4.7619047619047628"/>
    <s v="Good"/>
    <m/>
    <x v="0"/>
  </r>
  <r>
    <x v="441"/>
    <s v="Cairo"/>
    <s v="Mandalay"/>
    <s v="Member"/>
    <s v="Female"/>
    <s v="Sports and travel"/>
    <n v="88.43"/>
    <n v="8"/>
    <n v="35.372"/>
    <n v="742.81200000000001"/>
    <s v="3/22/2019"/>
    <d v="1899-12-30T19:35:00"/>
    <s v="Credit card"/>
    <n v="707.44"/>
    <n v="4.7619047620000003"/>
    <n v="35.372"/>
    <n v="4.3"/>
    <x v="2"/>
    <n v="4.7619047619047628"/>
    <s v="Excellent"/>
    <m/>
    <x v="0"/>
  </r>
  <r>
    <x v="442"/>
    <s v="Alex"/>
    <s v="Yangon"/>
    <s v="Member"/>
    <s v="Female"/>
    <s v="Home and lifestyle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  <x v="1"/>
    <n v="4.7619047619047619"/>
    <s v="Average"/>
    <m/>
    <x v="0"/>
  </r>
  <r>
    <x v="443"/>
    <s v="Giza"/>
    <s v="Naypyitaw"/>
    <s v="Normal"/>
    <s v="Male"/>
    <s v="Fashion accessories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  <x v="1"/>
    <n v="4.7619047619047628"/>
    <s v="Good"/>
    <m/>
    <x v="0"/>
  </r>
  <r>
    <x v="444"/>
    <s v="Alex"/>
    <s v="Yangon"/>
    <s v="Normal"/>
    <s v="Female"/>
    <s v="Sports and travel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  <x v="2"/>
    <n v="4.7619047619047619"/>
    <s v="Excellent"/>
    <m/>
    <x v="0"/>
  </r>
  <r>
    <x v="445"/>
    <s v="Cairo"/>
    <s v="Mandalay"/>
    <s v="Member"/>
    <s v="Female"/>
    <s v="Health and beauty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  <x v="2"/>
    <n v="4.7619047619047619"/>
    <s v="Excellent"/>
    <m/>
    <x v="0"/>
  </r>
  <r>
    <x v="446"/>
    <s v="Giza"/>
    <s v="Naypyitaw"/>
    <s v="Member"/>
    <s v="Male"/>
    <s v="Food and beverages"/>
    <n v="27.66"/>
    <n v="10"/>
    <n v="13.83"/>
    <n v="290.43"/>
    <s v="2/14/2019"/>
    <d v="1899-12-30T11:26:00"/>
    <s v="Credit card"/>
    <n v="276.60000000000002"/>
    <n v="4.7619047620000003"/>
    <n v="13.83"/>
    <n v="8.9"/>
    <x v="2"/>
    <n v="4.7619047619047619"/>
    <s v="Excellent"/>
    <m/>
    <x v="0"/>
  </r>
  <r>
    <x v="447"/>
    <s v="Giza"/>
    <s v="Naypyitaw"/>
    <s v="Normal"/>
    <s v="Male"/>
    <s v="Fashion accessories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  <x v="2"/>
    <n v="4.7619047619047619"/>
    <s v="Excellent"/>
    <m/>
    <x v="0"/>
  </r>
  <r>
    <x v="448"/>
    <s v="Cairo"/>
    <s v="Mandalay"/>
    <s v="Member"/>
    <s v="Female"/>
    <s v="Health and beauty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  <x v="2"/>
    <n v="4.7619047619047628"/>
    <s v="Good"/>
    <m/>
    <x v="0"/>
  </r>
  <r>
    <x v="449"/>
    <s v="Cairo"/>
    <s v="Mandalay"/>
    <s v="Member"/>
    <s v="Female"/>
    <s v="Sports and travel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  <x v="2"/>
    <n v="4.7619047619047619"/>
    <s v="Average"/>
    <m/>
    <x v="0"/>
  </r>
  <r>
    <x v="450"/>
    <s v="Cairo"/>
    <s v="Mandalay"/>
    <s v="Normal"/>
    <s v="Female"/>
    <s v="Electronic accessories"/>
    <n v="74.709999999999994"/>
    <n v="6"/>
    <n v="22.413"/>
    <n v="470.673"/>
    <d v="2019-01-01T00:00:00"/>
    <d v="1899-12-30T19:07:00"/>
    <s v="Cash"/>
    <n v="448.26"/>
    <n v="4.7619047620000003"/>
    <n v="22.413"/>
    <n v="6.7"/>
    <x v="2"/>
    <n v="4.7619047619047619"/>
    <s v="Excellent"/>
    <m/>
    <x v="0"/>
  </r>
  <r>
    <x v="451"/>
    <s v="Cairo"/>
    <s v="Mandalay"/>
    <s v="Normal"/>
    <s v="Male"/>
    <s v="Electronic accessories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  <x v="2"/>
    <n v="4.7619047619047619"/>
    <s v="Good"/>
    <m/>
    <x v="0"/>
  </r>
  <r>
    <x v="452"/>
    <s v="Alex"/>
    <s v="Yangon"/>
    <s v="Normal"/>
    <s v="Female"/>
    <s v="Food and beverages"/>
    <n v="63.61"/>
    <n v="5"/>
    <n v="15.9025"/>
    <n v="333.95249999999999"/>
    <s v="3/16/2019"/>
    <d v="1899-12-30T12:43:00"/>
    <s v="Ewallet"/>
    <n v="318.05"/>
    <n v="4.7619047620000003"/>
    <n v="15.9025"/>
    <n v="4.8"/>
    <x v="2"/>
    <n v="4.7619047619047619"/>
    <s v="Good"/>
    <m/>
    <x v="0"/>
  </r>
  <r>
    <x v="453"/>
    <s v="Alex"/>
    <s v="Yangon"/>
    <s v="Normal"/>
    <s v="Male"/>
    <s v="Health and beauty"/>
    <n v="25"/>
    <n v="1"/>
    <n v="1.25"/>
    <n v="26.25"/>
    <d v="2019-03-03T00:00:00"/>
    <d v="1899-12-30T15:09:00"/>
    <s v="Ewallet"/>
    <n v="25"/>
    <n v="4.7619047620000003"/>
    <n v="1.25"/>
    <n v="5.5"/>
    <x v="2"/>
    <n v="4.7619047619047628"/>
    <s v="Average"/>
    <m/>
    <x v="0"/>
  </r>
  <r>
    <x v="454"/>
    <s v="Alex"/>
    <s v="Yangon"/>
    <s v="Member"/>
    <s v="Male"/>
    <s v="Electronic accessories"/>
    <n v="20.77"/>
    <n v="4"/>
    <n v="4.1539999999999999"/>
    <n v="87.233999999999995"/>
    <s v="1/31/2019"/>
    <d v="1899-12-30T13:47:00"/>
    <s v="Cash"/>
    <n v="83.08"/>
    <n v="4.7619047620000003"/>
    <n v="4.1539999999999999"/>
    <n v="4.7"/>
    <x v="2"/>
    <n v="4.7619047619047619"/>
    <s v="Average"/>
    <m/>
    <x v="0"/>
  </r>
  <r>
    <x v="455"/>
    <s v="Cairo"/>
    <s v="Mandalay"/>
    <s v="Member"/>
    <s v="Female"/>
    <s v="Fashion accessories"/>
    <n v="29.56"/>
    <n v="5"/>
    <n v="7.39"/>
    <n v="155.19"/>
    <s v="2/13/2019"/>
    <d v="1899-12-30T16:59:00"/>
    <s v="Cash"/>
    <n v="147.80000000000001"/>
    <n v="4.7619047620000003"/>
    <n v="7.39"/>
    <n v="6.9"/>
    <x v="2"/>
    <n v="4.7619047619047628"/>
    <s v="Average"/>
    <m/>
    <x v="0"/>
  </r>
  <r>
    <x v="456"/>
    <s v="Cairo"/>
    <s v="Mandalay"/>
    <s v="Member"/>
    <s v="Female"/>
    <s v="Food and beverages"/>
    <n v="77.400000000000006"/>
    <n v="9"/>
    <n v="34.83"/>
    <n v="731.43"/>
    <s v="2/15/2019"/>
    <d v="1899-12-30T14:15:00"/>
    <s v="Credit card"/>
    <n v="696.6"/>
    <n v="4.7619047620000003"/>
    <n v="34.83"/>
    <n v="4.5"/>
    <x v="2"/>
    <n v="4.7619047619047619"/>
    <s v="Good"/>
    <m/>
    <x v="0"/>
  </r>
  <r>
    <x v="457"/>
    <s v="Cairo"/>
    <s v="Mandalay"/>
    <s v="Normal"/>
    <s v="Male"/>
    <s v="Electronic accessories"/>
    <n v="79.39"/>
    <n v="10"/>
    <n v="39.695"/>
    <n v="833.59500000000003"/>
    <d v="2019-07-02T00:00:00"/>
    <d v="1899-12-30T20:24:00"/>
    <s v="Cash"/>
    <n v="793.9"/>
    <n v="4.7619047620000003"/>
    <n v="39.695"/>
    <n v="6.2"/>
    <x v="1"/>
    <n v="4.7619047619047628"/>
    <s v="Average"/>
    <m/>
    <x v="0"/>
  </r>
  <r>
    <x v="458"/>
    <s v="Giza"/>
    <s v="Naypyitaw"/>
    <s v="Member"/>
    <s v="Female"/>
    <s v="Electronic accessories"/>
    <n v="46.57"/>
    <n v="10"/>
    <n v="23.285"/>
    <n v="488.98500000000001"/>
    <s v="1/27/2019"/>
    <d v="1899-12-30T13:58:00"/>
    <s v="Cash"/>
    <n v="465.7"/>
    <n v="4.7619047620000003"/>
    <n v="23.285"/>
    <n v="7.6"/>
    <x v="1"/>
    <n v="4.7619047619047619"/>
    <s v="Good"/>
    <m/>
    <x v="0"/>
  </r>
  <r>
    <x v="459"/>
    <s v="Giza"/>
    <s v="Naypyitaw"/>
    <s v="Normal"/>
    <s v="Male"/>
    <s v="Food and beverages"/>
    <n v="35.89"/>
    <n v="1"/>
    <n v="1.7945"/>
    <n v="37.6845"/>
    <s v="2/23/2019"/>
    <d v="1899-12-30T16:52:00"/>
    <s v="Credit card"/>
    <n v="35.89"/>
    <n v="4.7619047620000003"/>
    <n v="1.7945"/>
    <n v="7.9"/>
    <x v="2"/>
    <n v="4.7619047619047619"/>
    <s v="Good"/>
    <m/>
    <x v="0"/>
  </r>
  <r>
    <x v="460"/>
    <s v="Giza"/>
    <s v="Naypyitaw"/>
    <s v="Normal"/>
    <s v="Male"/>
    <s v="Food and beverages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  <x v="2"/>
    <n v="4.7619047619047619"/>
    <s v="Good"/>
    <m/>
    <x v="0"/>
  </r>
  <r>
    <x v="461"/>
    <s v="Cairo"/>
    <s v="Mandalay"/>
    <s v="Member"/>
    <s v="Female"/>
    <s v="Food and beverages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x v="2"/>
    <n v="4.7619047619047628"/>
    <s v="Average"/>
    <m/>
    <x v="0"/>
  </r>
  <r>
    <x v="462"/>
    <s v="Giza"/>
    <s v="Naypyitaw"/>
    <s v="Normal"/>
    <s v="Female"/>
    <s v="Sports and travel"/>
    <n v="73.95"/>
    <n v="4"/>
    <n v="14.79"/>
    <n v="310.58999999999997"/>
    <d v="2019-03-02T00:00:00"/>
    <d v="1899-12-30T10:02:00"/>
    <s v="Cash"/>
    <n v="295.8"/>
    <n v="4.7619047620000003"/>
    <n v="14.79"/>
    <n v="6.1"/>
    <x v="1"/>
    <n v="4.7619047619047619"/>
    <s v="Excellent"/>
    <m/>
    <x v="0"/>
  </r>
  <r>
    <x v="463"/>
    <s v="Giza"/>
    <s v="Naypyitaw"/>
    <s v="Member"/>
    <s v="Female"/>
    <s v="Food and beverages"/>
    <n v="22.62"/>
    <n v="1"/>
    <n v="1.131"/>
    <n v="23.751000000000001"/>
    <s v="3/17/2019"/>
    <d v="1899-12-30T18:58:00"/>
    <s v="Cash"/>
    <n v="22.62"/>
    <n v="4.7619047620000003"/>
    <n v="1.131"/>
    <n v="6.4"/>
    <x v="2"/>
    <n v="4.7619047619047628"/>
    <s v="Good"/>
    <m/>
    <x v="0"/>
  </r>
  <r>
    <x v="464"/>
    <s v="Alex"/>
    <s v="Yangon"/>
    <s v="Member"/>
    <s v="Male"/>
    <s v="Food and beverages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  <x v="2"/>
    <n v="4.7619047619047619"/>
    <s v="Good"/>
    <m/>
    <x v="0"/>
  </r>
  <r>
    <x v="465"/>
    <s v="Giza"/>
    <s v="Naypyitaw"/>
    <s v="Member"/>
    <s v="Female"/>
    <s v="Sports and travel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  <x v="2"/>
    <n v="4.7619047619047619"/>
    <s v="Excellent"/>
    <m/>
    <x v="0"/>
  </r>
  <r>
    <x v="466"/>
    <s v="Giza"/>
    <s v="Naypyitaw"/>
    <s v="Member"/>
    <s v="Female"/>
    <s v="Health and beauty"/>
    <n v="37.15"/>
    <n v="7"/>
    <n v="13.0025"/>
    <n v="273.05250000000001"/>
    <d v="2019-08-02T00:00:00"/>
    <d v="1899-12-30T13:12:00"/>
    <s v="Credit card"/>
    <n v="260.05"/>
    <n v="4.7619047620000003"/>
    <n v="13.0025"/>
    <n v="7.7"/>
    <x v="1"/>
    <n v="4.7619047619047619"/>
    <s v="Good"/>
    <m/>
    <x v="0"/>
  </r>
  <r>
    <x v="467"/>
    <s v="Cairo"/>
    <s v="Mandalay"/>
    <s v="Normal"/>
    <s v="Male"/>
    <s v="Sports and travel"/>
    <n v="37.020000000000003"/>
    <n v="6"/>
    <n v="11.106"/>
    <n v="233.226"/>
    <s v="3/22/2019"/>
    <d v="1899-12-30T18:33:00"/>
    <s v="Cash"/>
    <n v="222.12"/>
    <n v="4.7619047620000003"/>
    <n v="11.106"/>
    <n v="4.5"/>
    <x v="2"/>
    <n v="4.7619047619047619"/>
    <s v="Good"/>
    <m/>
    <x v="0"/>
  </r>
  <r>
    <x v="468"/>
    <s v="Giza"/>
    <s v="Naypyitaw"/>
    <s v="Normal"/>
    <s v="Male"/>
    <s v="Food and beverages"/>
    <n v="21.58"/>
    <n v="1"/>
    <n v="1.079"/>
    <n v="22.658999999999999"/>
    <d v="2019-09-02T00:00:00"/>
    <d v="1899-12-30T10:02:00"/>
    <s v="Ewallet"/>
    <n v="21.58"/>
    <n v="4.7619047620000003"/>
    <n v="1.079"/>
    <n v="7.2"/>
    <x v="2"/>
    <n v="4.7619047619047619"/>
    <s v="Average"/>
    <m/>
    <x v="0"/>
  </r>
  <r>
    <x v="469"/>
    <s v="Giza"/>
    <s v="Naypyitaw"/>
    <s v="Member"/>
    <s v="Female"/>
    <s v="Electronic accessories"/>
    <n v="98.84"/>
    <n v="1"/>
    <n v="4.9420000000000002"/>
    <n v="103.782"/>
    <s v="2/15/2019"/>
    <d v="1899-12-30T11:21:00"/>
    <s v="Cash"/>
    <n v="98.84"/>
    <n v="4.7619047620000003"/>
    <n v="4.9420000000000002"/>
    <n v="8.4"/>
    <x v="2"/>
    <n v="4.7619047619047619"/>
    <s v="Good"/>
    <m/>
    <x v="0"/>
  </r>
  <r>
    <x v="470"/>
    <s v="Giza"/>
    <s v="Naypyitaw"/>
    <s v="Member"/>
    <s v="Female"/>
    <s v="Home and lifestyle"/>
    <n v="83.77"/>
    <n v="6"/>
    <n v="25.131"/>
    <n v="527.75099999999998"/>
    <s v="1/23/2019"/>
    <d v="1899-12-30T12:10:00"/>
    <s v="Ewallet"/>
    <n v="502.62"/>
    <n v="4.7619047620000003"/>
    <n v="25.131"/>
    <n v="5.4"/>
    <x v="2"/>
    <n v="4.7619047619047628"/>
    <s v="Excellent"/>
    <m/>
    <x v="0"/>
  </r>
  <r>
    <x v="471"/>
    <s v="Alex"/>
    <s v="Yangon"/>
    <s v="Member"/>
    <s v="Female"/>
    <s v="Sports and travel"/>
    <n v="40.049999999999997"/>
    <n v="4"/>
    <n v="8.01"/>
    <n v="168.21"/>
    <s v="1/25/2019"/>
    <d v="1899-12-30T11:40:00"/>
    <s v="Cash"/>
    <n v="160.19999999999999"/>
    <n v="4.7619047620000003"/>
    <n v="8.01"/>
    <n v="9.6999999999999993"/>
    <x v="1"/>
    <n v="4.7619047619047628"/>
    <s v="Average"/>
    <m/>
    <x v="0"/>
  </r>
  <r>
    <x v="472"/>
    <s v="Alex"/>
    <s v="Yangon"/>
    <s v="Member"/>
    <s v="Male"/>
    <s v="Fashion accessories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x v="2"/>
    <n v="4.7619047619047619"/>
    <s v="Excellent"/>
    <m/>
    <x v="0"/>
  </r>
  <r>
    <x v="473"/>
    <s v="Cairo"/>
    <s v="Mandalay"/>
    <s v="Member"/>
    <s v="Male"/>
    <s v="Health and beauty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  <x v="2"/>
    <n v="4.7619047619047628"/>
    <s v="Average"/>
    <m/>
    <x v="0"/>
  </r>
  <r>
    <x v="474"/>
    <s v="Alex"/>
    <s v="Yangon"/>
    <s v="Member"/>
    <s v="Female"/>
    <s v="Electronic accessories"/>
    <n v="64.44"/>
    <n v="5"/>
    <n v="16.11"/>
    <n v="338.31"/>
    <s v="3/30/2019"/>
    <d v="1899-12-30T17:04:00"/>
    <s v="Cash"/>
    <n v="322.2"/>
    <n v="4.7619047620000003"/>
    <n v="16.11"/>
    <n v="6.6"/>
    <x v="1"/>
    <n v="4.7619047619047619"/>
    <s v="Average"/>
    <m/>
    <x v="0"/>
  </r>
  <r>
    <x v="475"/>
    <s v="Alex"/>
    <s v="Yangon"/>
    <s v="Normal"/>
    <s v="Male"/>
    <s v="Health and beauty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  <x v="2"/>
    <n v="4.7619047619047619"/>
    <s v="Good"/>
    <m/>
    <x v="0"/>
  </r>
  <r>
    <x v="476"/>
    <s v="Alex"/>
    <s v="Yangon"/>
    <s v="Normal"/>
    <s v="Female"/>
    <s v="Sports and travel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  <x v="2"/>
    <n v="4.7619047619047619"/>
    <s v="Good"/>
    <m/>
    <x v="0"/>
  </r>
  <r>
    <x v="477"/>
    <s v="Giza"/>
    <s v="Naypyitaw"/>
    <s v="Normal"/>
    <s v="Male"/>
    <s v="Electronic accessories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  <x v="2"/>
    <n v="4.7619047619047619"/>
    <s v="Average"/>
    <m/>
    <x v="0"/>
  </r>
  <r>
    <x v="478"/>
    <s v="Cairo"/>
    <s v="Mandalay"/>
    <s v="Normal"/>
    <s v="Male"/>
    <s v="Sports and travel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  <x v="2"/>
    <n v="4.7619047619047628"/>
    <s v="Average"/>
    <m/>
    <x v="0"/>
  </r>
  <r>
    <x v="479"/>
    <s v="Alex"/>
    <s v="Yangon"/>
    <s v="Normal"/>
    <s v="Male"/>
    <s v="Electronic accessories"/>
    <n v="38.6"/>
    <n v="1"/>
    <n v="1.93"/>
    <n v="40.53"/>
    <s v="1/29/2019"/>
    <d v="1899-12-30T11:26:00"/>
    <s v="Ewallet"/>
    <n v="38.6"/>
    <n v="4.7619047620000003"/>
    <n v="1.93"/>
    <n v="6.7"/>
    <x v="2"/>
    <n v="4.7619047619047619"/>
    <s v="Good"/>
    <m/>
    <x v="0"/>
  </r>
  <r>
    <x v="480"/>
    <s v="Giza"/>
    <s v="Naypyitaw"/>
    <s v="Normal"/>
    <s v="Male"/>
    <s v="Food and beverages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x v="2"/>
    <n v="4.7619047619047619"/>
    <s v="Good"/>
    <m/>
    <x v="0"/>
  </r>
  <r>
    <x v="481"/>
    <s v="Giza"/>
    <s v="Naypyitaw"/>
    <s v="Normal"/>
    <s v="Female"/>
    <s v="Electronic accessories"/>
    <n v="32.799999999999997"/>
    <n v="10"/>
    <n v="16.399999999999999"/>
    <n v="344.4"/>
    <s v="2/15/2019"/>
    <d v="1899-12-30T12:12:00"/>
    <s v="Cash"/>
    <n v="328"/>
    <n v="4.7619047620000003"/>
    <n v="16.399999999999999"/>
    <n v="6.2"/>
    <x v="1"/>
    <n v="4.7619047619047628"/>
    <s v="Excellent"/>
    <m/>
    <x v="0"/>
  </r>
  <r>
    <x v="482"/>
    <s v="Alex"/>
    <s v="Yangon"/>
    <s v="Normal"/>
    <s v="Male"/>
    <s v="Sports and travel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  <x v="2"/>
    <n v="4.7619047619047619"/>
    <s v="Good"/>
    <m/>
    <x v="0"/>
  </r>
  <r>
    <x v="483"/>
    <s v="Cairo"/>
    <s v="Mandalay"/>
    <s v="Member"/>
    <s v="Male"/>
    <s v="Home and lifestyle"/>
    <n v="60.38"/>
    <n v="10"/>
    <n v="30.19"/>
    <n v="633.99"/>
    <d v="2019-12-02T00:00:00"/>
    <d v="1899-12-30T16:19:00"/>
    <s v="Cash"/>
    <n v="603.79999999999995"/>
    <n v="4.7619047620000003"/>
    <n v="30.19"/>
    <n v="6"/>
    <x v="2"/>
    <n v="4.7619047619047619"/>
    <s v="Average"/>
    <m/>
    <x v="0"/>
  </r>
  <r>
    <x v="484"/>
    <s v="Giza"/>
    <s v="Naypyitaw"/>
    <s v="Member"/>
    <s v="Female"/>
    <s v="Sports and travel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x v="1"/>
    <n v="4.7619047619047628"/>
    <s v="Good"/>
    <m/>
    <x v="0"/>
  </r>
  <r>
    <x v="485"/>
    <s v="Cairo"/>
    <s v="Mandalay"/>
    <s v="Member"/>
    <s v="Female"/>
    <s v="Sports and travel"/>
    <n v="49.49"/>
    <n v="4"/>
    <n v="9.8979999999999997"/>
    <n v="207.858"/>
    <s v="3/21/2019"/>
    <d v="1899-12-30T15:25:00"/>
    <s v="Ewallet"/>
    <n v="197.96"/>
    <n v="4.7619047620000003"/>
    <n v="9.8979999999999997"/>
    <n v="6.6"/>
    <x v="2"/>
    <n v="4.761904761904761"/>
    <s v="Good"/>
    <m/>
    <x v="0"/>
  </r>
  <r>
    <x v="486"/>
    <s v="Cairo"/>
    <s v="Mandalay"/>
    <s v="Normal"/>
    <s v="Female"/>
    <s v="Fashion accessories"/>
    <n v="41.09"/>
    <n v="10"/>
    <n v="20.545000000000002"/>
    <n v="431.44499999999999"/>
    <s v="2/28/2019"/>
    <d v="1899-12-30T14:42:00"/>
    <s v="Cash"/>
    <n v="410.9"/>
    <n v="4.7619047620000003"/>
    <n v="20.545000000000002"/>
    <n v="7.3"/>
    <x v="2"/>
    <n v="4.7619047619047619"/>
    <s v="Good"/>
    <m/>
    <x v="0"/>
  </r>
  <r>
    <x v="487"/>
    <s v="Alex"/>
    <s v="Yangon"/>
    <s v="Normal"/>
    <s v="Male"/>
    <s v="Fashion accessories"/>
    <n v="37.15"/>
    <n v="4"/>
    <n v="7.43"/>
    <n v="156.03"/>
    <s v="3/23/2019"/>
    <d v="1899-12-30T18:59:00"/>
    <s v="Ewallet"/>
    <n v="148.6"/>
    <n v="4.7619047620000003"/>
    <n v="7.43"/>
    <n v="8.3000000000000007"/>
    <x v="2"/>
    <n v="4.7619047619047628"/>
    <s v="Good"/>
    <m/>
    <x v="0"/>
  </r>
  <r>
    <x v="488"/>
    <s v="Giza"/>
    <s v="Naypyitaw"/>
    <s v="Normal"/>
    <s v="Male"/>
    <s v="Home and lifestyle"/>
    <n v="22.96"/>
    <n v="1"/>
    <n v="1.1479999999999999"/>
    <n v="24.108000000000001"/>
    <s v="1/30/2019"/>
    <d v="1899-12-30T20:47:00"/>
    <s v="Cash"/>
    <n v="22.96"/>
    <n v="4.7619047620000003"/>
    <n v="1.1479999999999999"/>
    <n v="4.3"/>
    <x v="2"/>
    <n v="4.7619047619047619"/>
    <s v="Excellent"/>
    <m/>
    <x v="0"/>
  </r>
  <r>
    <x v="489"/>
    <s v="Cairo"/>
    <s v="Mandalay"/>
    <s v="Member"/>
    <s v="Female"/>
    <s v="Home and lifestyle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  <x v="2"/>
    <n v="4.7619047619047619"/>
    <s v="Average"/>
    <m/>
    <x v="0"/>
  </r>
  <r>
    <x v="490"/>
    <s v="Cairo"/>
    <s v="Mandalay"/>
    <s v="Normal"/>
    <s v="Female"/>
    <s v="Fashion accessories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  <x v="1"/>
    <n v="4.7619047619047628"/>
    <s v="Excellent"/>
    <m/>
    <x v="0"/>
  </r>
  <r>
    <x v="491"/>
    <s v="Alex"/>
    <s v="Yangon"/>
    <s v="Member"/>
    <s v="Female"/>
    <s v="Fashion accessories"/>
    <n v="19.66"/>
    <n v="10"/>
    <n v="9.83"/>
    <n v="206.43"/>
    <s v="3/15/2019"/>
    <d v="1899-12-30T18:20:00"/>
    <s v="Credit card"/>
    <n v="196.6"/>
    <n v="4.7619047620000003"/>
    <n v="9.83"/>
    <n v="7.2"/>
    <x v="2"/>
    <n v="4.7619047619047619"/>
    <s v="Excellent"/>
    <m/>
    <x v="0"/>
  </r>
  <r>
    <x v="492"/>
    <s v="Cairo"/>
    <s v="Mandalay"/>
    <s v="Member"/>
    <s v="Female"/>
    <s v="Health and beauty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  <x v="2"/>
    <n v="4.7619047619047619"/>
    <s v="Good"/>
    <m/>
    <x v="0"/>
  </r>
  <r>
    <x v="493"/>
    <s v="Giza"/>
    <s v="Naypyitaw"/>
    <s v="Member"/>
    <s v="Female"/>
    <s v="Home and lifestyle"/>
    <n v="12.12"/>
    <n v="10"/>
    <n v="6.06"/>
    <n v="127.26"/>
    <d v="2019-05-03T00:00:00"/>
    <d v="1899-12-30T13:44:00"/>
    <s v="Credit card"/>
    <n v="121.2"/>
    <n v="4.7619047620000003"/>
    <n v="6.06"/>
    <n v="8.4"/>
    <x v="2"/>
    <n v="4.7619047619047628"/>
    <s v="Excellent"/>
    <m/>
    <x v="0"/>
  </r>
  <r>
    <x v="494"/>
    <s v="Cairo"/>
    <s v="Mandalay"/>
    <s v="Normal"/>
    <s v="Male"/>
    <s v="Fashion accessories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  <x v="2"/>
    <n v="4.7619047619047619"/>
    <s v="Excellent"/>
    <m/>
    <x v="0"/>
  </r>
  <r>
    <x v="495"/>
    <s v="Cairo"/>
    <s v="Mandalay"/>
    <s v="Normal"/>
    <s v="Male"/>
    <s v="Sports and travel"/>
    <n v="75.92"/>
    <n v="8"/>
    <n v="30.367999999999999"/>
    <n v="637.72799999999995"/>
    <s v="3/20/2019"/>
    <d v="1899-12-30T14:14:00"/>
    <s v="Cash"/>
    <n v="607.36"/>
    <n v="4.7619047620000003"/>
    <n v="30.367999999999999"/>
    <n v="5.5"/>
    <x v="2"/>
    <n v="4.7619047619047628"/>
    <s v="Good"/>
    <m/>
    <x v="0"/>
  </r>
  <r>
    <x v="496"/>
    <s v="Giza"/>
    <s v="Naypyitaw"/>
    <s v="Normal"/>
    <s v="Female"/>
    <s v="Electronic accessories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x v="1"/>
    <n v="4.7619047619047628"/>
    <s v="Average"/>
    <m/>
    <x v="0"/>
  </r>
  <r>
    <x v="497"/>
    <s v="Giza"/>
    <s v="Naypyitaw"/>
    <s v="Normal"/>
    <s v="Female"/>
    <s v="Food and beverages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  <x v="2"/>
    <n v="4.7619047619047619"/>
    <s v="Excellent"/>
    <m/>
    <x v="0"/>
  </r>
  <r>
    <x v="498"/>
    <s v="Cairo"/>
    <s v="Mandalay"/>
    <s v="Member"/>
    <s v="Female"/>
    <s v="Sports and travel"/>
    <n v="98.13"/>
    <n v="1"/>
    <n v="4.9065000000000003"/>
    <n v="103.0365"/>
    <s v="1/21/2019"/>
    <d v="1899-12-30T17:36:00"/>
    <s v="Cash"/>
    <n v="98.13"/>
    <n v="4.7619047620000003"/>
    <n v="4.9065000000000003"/>
    <n v="8.9"/>
    <x v="1"/>
    <n v="4.7619047619047628"/>
    <s v="Good"/>
    <m/>
    <x v="0"/>
  </r>
  <r>
    <x v="499"/>
    <s v="Alex"/>
    <s v="Yangon"/>
    <s v="Member"/>
    <s v="Female"/>
    <s v="Sports and travel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x v="2"/>
    <n v="4.7619047619047628"/>
    <s v="Excellent"/>
    <m/>
    <x v="0"/>
  </r>
  <r>
    <x v="500"/>
    <s v="Cairo"/>
    <s v="Mandalay"/>
    <s v="Member"/>
    <s v="Male"/>
    <s v="Sports and travel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  <x v="2"/>
    <n v="4.7619047619047628"/>
    <s v="Excellent"/>
    <m/>
    <x v="0"/>
  </r>
  <r>
    <x v="501"/>
    <s v="Giza"/>
    <s v="Naypyitaw"/>
    <s v="Member"/>
    <s v="Female"/>
    <s v="Fashion accessories"/>
    <n v="31.9"/>
    <n v="1"/>
    <n v="1.595"/>
    <n v="33.494999999999997"/>
    <d v="2019-05-01T00:00:00"/>
    <d v="1899-12-30T12:40:00"/>
    <s v="Ewallet"/>
    <n v="31.9"/>
    <n v="4.7619047620000003"/>
    <n v="1.595"/>
    <n v="9.1"/>
    <x v="2"/>
    <n v="4.7619047619047628"/>
    <s v="Average"/>
    <m/>
    <x v="0"/>
  </r>
  <r>
    <x v="502"/>
    <s v="Giza"/>
    <s v="Naypyitaw"/>
    <s v="Normal"/>
    <s v="Male"/>
    <s v="Home and lifestyle"/>
    <n v="69.400000000000006"/>
    <n v="2"/>
    <n v="6.94"/>
    <n v="145.74"/>
    <s v="1/27/2019"/>
    <d v="1899-12-30T19:48:00"/>
    <s v="Ewallet"/>
    <n v="138.80000000000001"/>
    <n v="4.7619047620000003"/>
    <n v="6.94"/>
    <n v="9"/>
    <x v="2"/>
    <n v="4.7619047619047628"/>
    <s v="Excellent"/>
    <m/>
    <x v="0"/>
  </r>
  <r>
    <x v="503"/>
    <s v="Cairo"/>
    <s v="Mandalay"/>
    <s v="Normal"/>
    <s v="Female"/>
    <s v="Sports and travel"/>
    <n v="93.31"/>
    <n v="2"/>
    <n v="9.3309999999999995"/>
    <n v="195.95099999999999"/>
    <s v="3/25/2019"/>
    <d v="1899-12-30T17:53:00"/>
    <s v="Cash"/>
    <n v="186.62"/>
    <n v="4.7619047620000003"/>
    <n v="9.3309999999999995"/>
    <n v="6.3"/>
    <x v="2"/>
    <n v="4.7619047619047619"/>
    <s v="Excellent"/>
    <m/>
    <x v="0"/>
  </r>
  <r>
    <x v="504"/>
    <s v="Cairo"/>
    <s v="Mandalay"/>
    <s v="Normal"/>
    <s v="Male"/>
    <s v="Sports and travel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  <x v="2"/>
    <n v="4.7619047619047619"/>
    <s v="Good"/>
    <m/>
    <x v="0"/>
  </r>
  <r>
    <x v="505"/>
    <s v="Alex"/>
    <s v="Yangon"/>
    <s v="Member"/>
    <s v="Male"/>
    <s v="Electronic accessories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  <x v="2"/>
    <n v="4.7619047619047628"/>
    <s v="Excellent"/>
    <m/>
    <x v="0"/>
  </r>
  <r>
    <x v="506"/>
    <s v="Cairo"/>
    <s v="Mandalay"/>
    <s v="Member"/>
    <s v="Female"/>
    <s v="Sports and travel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  <x v="2"/>
    <n v="4.7619047619047628"/>
    <s v="Excellent"/>
    <m/>
    <x v="0"/>
  </r>
  <r>
    <x v="507"/>
    <s v="Cairo"/>
    <s v="Mandalay"/>
    <s v="Normal"/>
    <s v="Female"/>
    <s v="Food and beverages"/>
    <n v="84.05"/>
    <n v="6"/>
    <n v="25.215"/>
    <n v="529.51499999999999"/>
    <s v="1/29/2019"/>
    <d v="1899-12-30T10:48:00"/>
    <s v="Credit card"/>
    <n v="504.3"/>
    <n v="4.7619047620000003"/>
    <n v="25.215"/>
    <n v="7.7"/>
    <x v="2"/>
    <n v="4.7619047619047619"/>
    <s v="Good"/>
    <m/>
    <x v="0"/>
  </r>
  <r>
    <x v="508"/>
    <s v="Cairo"/>
    <s v="Mandalay"/>
    <s v="Member"/>
    <s v="Male"/>
    <s v="Health and beauty"/>
    <n v="61.29"/>
    <n v="5"/>
    <n v="15.3225"/>
    <n v="321.77249999999998"/>
    <s v="3/29/2019"/>
    <d v="1899-12-30T14:28:00"/>
    <s v="Cash"/>
    <n v="306.45"/>
    <n v="4.7619047620000003"/>
    <n v="15.3225"/>
    <n v="7"/>
    <x v="1"/>
    <n v="4.7619047619047628"/>
    <s v="Good"/>
    <m/>
    <x v="0"/>
  </r>
  <r>
    <x v="509"/>
    <s v="Giza"/>
    <s v="Naypyitaw"/>
    <s v="Member"/>
    <s v="Female"/>
    <s v="Home and lifestyle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  <x v="2"/>
    <n v="4.7619047619047628"/>
    <s v="Good"/>
    <m/>
    <x v="0"/>
  </r>
  <r>
    <x v="510"/>
    <s v="Cairo"/>
    <s v="Mandalay"/>
    <s v="Member"/>
    <s v="Female"/>
    <s v="Sports and travel"/>
    <n v="90.74"/>
    <n v="7"/>
    <n v="31.759"/>
    <n v="666.93899999999996"/>
    <s v="1/16/2019"/>
    <d v="1899-12-30T18:03:00"/>
    <s v="Credit card"/>
    <n v="635.17999999999995"/>
    <n v="4.7619047620000003"/>
    <n v="31.759"/>
    <n v="6.2"/>
    <x v="2"/>
    <n v="4.7619047619047628"/>
    <s v="Average"/>
    <m/>
    <x v="0"/>
  </r>
  <r>
    <x v="511"/>
    <s v="Alex"/>
    <s v="Yangon"/>
    <s v="Normal"/>
    <s v="Female"/>
    <s v="Home and lifestyle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  <x v="1"/>
    <n v="4.7619047619047628"/>
    <s v="Good"/>
    <m/>
    <x v="0"/>
  </r>
  <r>
    <x v="512"/>
    <s v="Alex"/>
    <s v="Yangon"/>
    <s v="Normal"/>
    <s v="Female"/>
    <s v="Fashion accessories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  <x v="2"/>
    <n v="4.7619047619047619"/>
    <s v="Good"/>
    <m/>
    <x v="0"/>
  </r>
  <r>
    <x v="513"/>
    <s v="Alex"/>
    <s v="Yangon"/>
    <s v="Normal"/>
    <s v="Male"/>
    <s v="Electronic accessories"/>
    <n v="99.55"/>
    <n v="7"/>
    <n v="34.842500000000001"/>
    <n v="731.6925"/>
    <s v="3/14/2019"/>
    <d v="1899-12-30T12:07:00"/>
    <s v="Cash"/>
    <n v="696.85"/>
    <n v="4.7619047620000003"/>
    <n v="34.842500000000001"/>
    <n v="7.6"/>
    <x v="2"/>
    <n v="4.7619047619047619"/>
    <s v="Excellent"/>
    <m/>
    <x v="0"/>
  </r>
  <r>
    <x v="514"/>
    <s v="Giza"/>
    <s v="Naypyitaw"/>
    <s v="Member"/>
    <s v="Male"/>
    <s v="Sports and travel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  <x v="1"/>
    <n v="4.7619047619047628"/>
    <s v="Good"/>
    <m/>
    <x v="0"/>
  </r>
  <r>
    <x v="515"/>
    <s v="Giza"/>
    <s v="Naypyitaw"/>
    <s v="Member"/>
    <s v="Female"/>
    <s v="Fashion accessories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  <x v="2"/>
    <n v="4.7619047619047619"/>
    <s v="Excellent"/>
    <m/>
    <x v="0"/>
  </r>
  <r>
    <x v="516"/>
    <s v="Cairo"/>
    <s v="Mandalay"/>
    <s v="Member"/>
    <s v="Male"/>
    <s v="Health and beauty"/>
    <n v="54.86"/>
    <n v="5"/>
    <n v="13.715"/>
    <n v="288.01499999999999"/>
    <s v="3/29/2019"/>
    <d v="1899-12-30T16:48:00"/>
    <s v="Ewallet"/>
    <n v="274.3"/>
    <n v="4.7619047620000003"/>
    <n v="13.715"/>
    <n v="9.8000000000000007"/>
    <x v="2"/>
    <n v="4.7619047619047619"/>
    <s v="Excellent"/>
    <m/>
    <x v="0"/>
  </r>
  <r>
    <x v="517"/>
    <s v="Giza"/>
    <s v="Naypyitaw"/>
    <s v="Member"/>
    <s v="Male"/>
    <s v="Home and lifestyle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  <x v="2"/>
    <n v="4.7619047619047628"/>
    <s v="Excellent"/>
    <m/>
    <x v="0"/>
  </r>
  <r>
    <x v="518"/>
    <s v="Alex"/>
    <s v="Yangon"/>
    <s v="Normal"/>
    <s v="Male"/>
    <s v="Home and lifestyle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  <x v="2"/>
    <n v="4.7619047619047619"/>
    <s v="Excellent"/>
    <m/>
    <x v="0"/>
  </r>
  <r>
    <x v="519"/>
    <s v="Giza"/>
    <s v="Naypyitaw"/>
    <s v="Member"/>
    <s v="Male"/>
    <s v="Sports and travel"/>
    <n v="71.92"/>
    <n v="5"/>
    <n v="17.98"/>
    <n v="377.58"/>
    <s v="1/17/2019"/>
    <d v="1899-12-30T15:05:00"/>
    <s v="Credit card"/>
    <n v="359.6"/>
    <n v="4.7619047620000003"/>
    <n v="17.98"/>
    <n v="4.3"/>
    <x v="2"/>
    <n v="4.761904761904761"/>
    <s v="Excellent"/>
    <m/>
    <x v="0"/>
  </r>
  <r>
    <x v="520"/>
    <s v="Cairo"/>
    <s v="Mandalay"/>
    <s v="Normal"/>
    <s v="Female"/>
    <s v="Electronic accessories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  <x v="2"/>
    <n v="4.7619047619047628"/>
    <s v="Average"/>
    <m/>
    <x v="0"/>
  </r>
  <r>
    <x v="521"/>
    <s v="Giza"/>
    <s v="Naypyitaw"/>
    <s v="Member"/>
    <s v="Female"/>
    <s v="Home and lifestyle"/>
    <n v="83.17"/>
    <n v="6"/>
    <n v="24.951000000000001"/>
    <n v="523.971"/>
    <s v="3/20/2019"/>
    <d v="1899-12-30T11:23:00"/>
    <s v="Cash"/>
    <n v="499.02"/>
    <n v="4.7619047620000003"/>
    <n v="24.951000000000001"/>
    <n v="7.3"/>
    <x v="2"/>
    <n v="4.7619047619047619"/>
    <s v="Good"/>
    <m/>
    <x v="0"/>
  </r>
  <r>
    <x v="522"/>
    <s v="Alex"/>
    <s v="Yangon"/>
    <s v="Member"/>
    <s v="Female"/>
    <s v="Home and lifestyle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  <x v="1"/>
    <n v="4.7619047619047619"/>
    <s v="Good"/>
    <m/>
    <x v="0"/>
  </r>
  <r>
    <x v="523"/>
    <s v="Giza"/>
    <s v="Naypyitaw"/>
    <s v="Normal"/>
    <s v="Male"/>
    <s v="Health and beauty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x v="2"/>
    <n v="4.7619047619047619"/>
    <s v="Average"/>
    <m/>
    <x v="0"/>
  </r>
  <r>
    <x v="524"/>
    <s v="Alex"/>
    <s v="Yangon"/>
    <s v="Normal"/>
    <s v="Male"/>
    <s v="Food and beverages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  <x v="2"/>
    <n v="4.7619047619047628"/>
    <s v="Average"/>
    <m/>
    <x v="0"/>
  </r>
  <r>
    <x v="525"/>
    <s v="Alex"/>
    <s v="Yangon"/>
    <s v="Member"/>
    <s v="Female"/>
    <s v="Sports and travel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  <x v="1"/>
    <n v="4.7619047619047628"/>
    <s v="Excellent"/>
    <m/>
    <x v="0"/>
  </r>
  <r>
    <x v="526"/>
    <s v="Cairo"/>
    <s v="Mandalay"/>
    <s v="Normal"/>
    <s v="Male"/>
    <s v="Fashion accessories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  <x v="2"/>
    <n v="4.7619047619047619"/>
    <s v="Good"/>
    <m/>
    <x v="0"/>
  </r>
  <r>
    <x v="527"/>
    <s v="Cairo"/>
    <s v="Mandalay"/>
    <s v="Member"/>
    <s v="Male"/>
    <s v="Fashion accessories"/>
    <n v="59.86"/>
    <n v="2"/>
    <n v="5.9859999999999998"/>
    <n v="125.706"/>
    <s v="1/13/2019"/>
    <d v="1899-12-30T14:55:00"/>
    <s v="Ewallet"/>
    <n v="119.72"/>
    <n v="4.7619047620000003"/>
    <n v="5.9859999999999998"/>
    <n v="6.7"/>
    <x v="2"/>
    <n v="4.7619047619047628"/>
    <s v="Excellent"/>
    <m/>
    <x v="0"/>
  </r>
  <r>
    <x v="528"/>
    <s v="Cairo"/>
    <s v="Mandalay"/>
    <s v="Member"/>
    <s v="Female"/>
    <s v="Food and beverages"/>
    <n v="54.36"/>
    <n v="10"/>
    <n v="27.18"/>
    <n v="570.78"/>
    <d v="2019-07-02T00:00:00"/>
    <d v="1899-12-30T11:28:00"/>
    <s v="Credit card"/>
    <n v="543.6"/>
    <n v="4.7619047620000003"/>
    <n v="27.18"/>
    <n v="6.1"/>
    <x v="2"/>
    <n v="4.7619047619047619"/>
    <s v="Good"/>
    <m/>
    <x v="0"/>
  </r>
  <r>
    <x v="529"/>
    <s v="Alex"/>
    <s v="Yangon"/>
    <s v="Normal"/>
    <s v="Male"/>
    <s v="Sports and travel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  <x v="1"/>
    <n v="4.7619047619047628"/>
    <s v="Good"/>
    <m/>
    <x v="0"/>
  </r>
  <r>
    <x v="530"/>
    <s v="Alex"/>
    <s v="Yangon"/>
    <s v="Normal"/>
    <s v="Male"/>
    <s v="Health and beauty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  <x v="1"/>
    <n v="4.7619047619047628"/>
    <s v="Excellent"/>
    <m/>
    <x v="0"/>
  </r>
  <r>
    <x v="531"/>
    <s v="Alex"/>
    <s v="Yangon"/>
    <s v="Member"/>
    <s v="Male"/>
    <s v="Fashion accessories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  <x v="2"/>
    <n v="4.7619047619047619"/>
    <s v="Good"/>
    <m/>
    <x v="0"/>
  </r>
  <r>
    <x v="532"/>
    <s v="Cairo"/>
    <s v="Mandalay"/>
    <s v="Normal"/>
    <s v="Male"/>
    <s v="Electronic accessories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  <x v="1"/>
    <n v="4.7619047619047619"/>
    <s v="Good"/>
    <m/>
    <x v="0"/>
  </r>
  <r>
    <x v="533"/>
    <s v="Giza"/>
    <s v="Naypyitaw"/>
    <s v="Normal"/>
    <s v="Female"/>
    <s v="Food and beverages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  <x v="2"/>
    <n v="4.7619047619047619"/>
    <s v="Excellent"/>
    <m/>
    <x v="0"/>
  </r>
  <r>
    <x v="534"/>
    <s v="Alex"/>
    <s v="Yangon"/>
    <s v="Normal"/>
    <s v="Female"/>
    <s v="Home and lifestyle"/>
    <n v="28.32"/>
    <n v="5"/>
    <n v="7.08"/>
    <n v="148.68"/>
    <d v="2019-11-03T00:00:00"/>
    <d v="1899-12-30T13:28:00"/>
    <s v="Ewallet"/>
    <n v="141.6"/>
    <n v="4.7619047620000003"/>
    <n v="7.08"/>
    <n v="6.2"/>
    <x v="2"/>
    <n v="4.7619047619047619"/>
    <s v="Excellent"/>
    <m/>
    <x v="0"/>
  </r>
  <r>
    <x v="535"/>
    <s v="Giza"/>
    <s v="Naypyitaw"/>
    <s v="Normal"/>
    <s v="Male"/>
    <s v="Home and lifestyle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  <x v="2"/>
    <n v="4.7619047619047619"/>
    <s v="Good"/>
    <m/>
    <x v="0"/>
  </r>
  <r>
    <x v="536"/>
    <s v="Cairo"/>
    <s v="Mandalay"/>
    <s v="Member"/>
    <s v="Female"/>
    <s v="Fashion accessories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  <x v="2"/>
    <n v="4.7619047619047619"/>
    <s v="Good"/>
    <m/>
    <x v="0"/>
  </r>
  <r>
    <x v="537"/>
    <s v="Alex"/>
    <s v="Yangon"/>
    <s v="Normal"/>
    <s v="Male"/>
    <s v="Home and lifestyle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  <x v="2"/>
    <n v="4.7619047619047619"/>
    <s v="Average"/>
    <m/>
    <x v="0"/>
  </r>
  <r>
    <x v="538"/>
    <s v="Alex"/>
    <s v="Yangon"/>
    <s v="Normal"/>
    <s v="Female"/>
    <s v="Fashion accessories"/>
    <n v="73.05"/>
    <n v="4"/>
    <n v="14.61"/>
    <n v="306.81"/>
    <s v="2/25/2019"/>
    <d v="1899-12-30T17:16:00"/>
    <s v="Credit card"/>
    <n v="292.2"/>
    <n v="4.7619047620000003"/>
    <n v="14.61"/>
    <n v="4.9000000000000004"/>
    <x v="2"/>
    <n v="4.7619047619047619"/>
    <s v="Good"/>
    <m/>
    <x v="0"/>
  </r>
  <r>
    <x v="539"/>
    <s v="Giza"/>
    <s v="Naypyitaw"/>
    <s v="Member"/>
    <s v="Female"/>
    <s v="Food and beverages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  <x v="2"/>
    <n v="4.7619047619047619"/>
    <s v="Average"/>
    <m/>
    <x v="0"/>
  </r>
  <r>
    <x v="540"/>
    <s v="Alex"/>
    <s v="Yangon"/>
    <s v="Normal"/>
    <s v="Male"/>
    <s v="Home and lifestyle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  <x v="1"/>
    <n v="4.7619047619047619"/>
    <s v="Average"/>
    <m/>
    <x v="0"/>
  </r>
  <r>
    <x v="541"/>
    <s v="Giza"/>
    <s v="Naypyitaw"/>
    <s v="Member"/>
    <s v="Male"/>
    <s v="Health and beauty"/>
    <n v="75.88"/>
    <n v="1"/>
    <n v="3.794"/>
    <n v="79.674000000000007"/>
    <d v="2019-03-01T00:00:00"/>
    <d v="1899-12-30T10:30:00"/>
    <s v="Credit card"/>
    <n v="75.88"/>
    <n v="4.7619047620000003"/>
    <n v="3.794"/>
    <n v="7.1"/>
    <x v="2"/>
    <n v="4.7619047619047628"/>
    <s v="Excellent"/>
    <m/>
    <x v="0"/>
  </r>
  <r>
    <x v="542"/>
    <s v="Cairo"/>
    <s v="Mandalay"/>
    <s v="Member"/>
    <s v="Female"/>
    <s v="Sports and travel"/>
    <n v="20.18"/>
    <n v="4"/>
    <n v="4.0359999999999996"/>
    <n v="84.756"/>
    <s v="2/13/2019"/>
    <d v="1899-12-30T12:14:00"/>
    <s v="Credit card"/>
    <n v="80.72"/>
    <n v="4.7619047620000003"/>
    <n v="4.0359999999999996"/>
    <n v="5"/>
    <x v="2"/>
    <n v="4.7619047619047619"/>
    <s v="Good"/>
    <m/>
    <x v="0"/>
  </r>
  <r>
    <x v="543"/>
    <s v="Giza"/>
    <s v="Naypyitaw"/>
    <s v="Member"/>
    <s v="Male"/>
    <s v="Electronic accessories"/>
    <n v="18.77"/>
    <n v="6"/>
    <n v="5.6310000000000002"/>
    <n v="118.251"/>
    <s v="1/28/2019"/>
    <d v="1899-12-30T16:43:00"/>
    <s v="Credit card"/>
    <n v="112.62"/>
    <n v="4.7619047620000003"/>
    <n v="5.6310000000000002"/>
    <n v="5.5"/>
    <x v="2"/>
    <n v="4.7619047619047619"/>
    <s v="Average"/>
    <m/>
    <x v="0"/>
  </r>
  <r>
    <x v="544"/>
    <s v="Cairo"/>
    <s v="Mandalay"/>
    <s v="Normal"/>
    <s v="Female"/>
    <s v="Food and beverages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  <x v="2"/>
    <n v="4.7619047619047619"/>
    <s v="Average"/>
    <m/>
    <x v="0"/>
  </r>
  <r>
    <x v="545"/>
    <s v="Cairo"/>
    <s v="Mandalay"/>
    <s v="Member"/>
    <s v="Male"/>
    <s v="Home and lifestyle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  <x v="2"/>
    <n v="4.7619047619047619"/>
    <s v="Excellent"/>
    <m/>
    <x v="0"/>
  </r>
  <r>
    <x v="546"/>
    <s v="Alex"/>
    <s v="Yangon"/>
    <s v="Normal"/>
    <s v="Female"/>
    <s v="Fashion accessories"/>
    <n v="29.42"/>
    <n v="10"/>
    <n v="14.71"/>
    <n v="308.91000000000003"/>
    <d v="2019-12-01T00:00:00"/>
    <d v="1899-12-30T16:23:00"/>
    <s v="Ewallet"/>
    <n v="294.2"/>
    <n v="4.7619047620000003"/>
    <n v="14.71"/>
    <n v="8.9"/>
    <x v="2"/>
    <n v="4.7619047619047619"/>
    <s v="Average"/>
    <m/>
    <x v="0"/>
  </r>
  <r>
    <x v="547"/>
    <s v="Alex"/>
    <s v="Yangon"/>
    <s v="Normal"/>
    <s v="Male"/>
    <s v="Sports and travel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  <x v="2"/>
    <n v="4.7619047619047619"/>
    <s v="Excellent"/>
    <m/>
    <x v="0"/>
  </r>
  <r>
    <x v="548"/>
    <s v="Cairo"/>
    <s v="Mandalay"/>
    <s v="Normal"/>
    <s v="Female"/>
    <s v="Sports and travel"/>
    <n v="51.54"/>
    <n v="5"/>
    <n v="12.885"/>
    <n v="270.58499999999998"/>
    <s v="1/26/2019"/>
    <d v="1899-12-30T17:45:00"/>
    <s v="Cash"/>
    <n v="257.7"/>
    <n v="4.7619047620000003"/>
    <n v="12.885"/>
    <n v="4.2"/>
    <x v="1"/>
    <n v="4.7619047619047619"/>
    <s v="Good"/>
    <m/>
    <x v="0"/>
  </r>
  <r>
    <x v="549"/>
    <s v="Alex"/>
    <s v="Yangon"/>
    <s v="Normal"/>
    <s v="Female"/>
    <s v="Electronic accessories"/>
    <n v="66.06"/>
    <n v="6"/>
    <n v="19.818000000000001"/>
    <n v="416.178"/>
    <s v="1/23/2019"/>
    <d v="1899-12-30T10:28:00"/>
    <s v="Cash"/>
    <n v="396.36"/>
    <n v="4.7619047620000003"/>
    <n v="19.818000000000001"/>
    <n v="7.3"/>
    <x v="2"/>
    <n v="4.7619047619047628"/>
    <s v="Average"/>
    <m/>
    <x v="0"/>
  </r>
  <r>
    <x v="550"/>
    <s v="Cairo"/>
    <s v="Mandalay"/>
    <s v="Normal"/>
    <s v="Male"/>
    <s v="Fashion accessories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  <x v="2"/>
    <n v="4.7619047619047628"/>
    <s v="Good"/>
    <m/>
    <x v="0"/>
  </r>
  <r>
    <x v="551"/>
    <s v="Cairo"/>
    <s v="Mandalay"/>
    <s v="Normal"/>
    <s v="Female"/>
    <s v="Fashion accessories"/>
    <n v="54.31"/>
    <n v="9"/>
    <n v="24.439499999999999"/>
    <n v="513.22950000000003"/>
    <s v="2/22/2019"/>
    <d v="1899-12-30T10:49:00"/>
    <s v="Cash"/>
    <n v="488.79"/>
    <n v="4.7619047620000003"/>
    <n v="24.439499999999999"/>
    <n v="8.9"/>
    <x v="2"/>
    <n v="4.7619047619047628"/>
    <s v="Good"/>
    <m/>
    <x v="0"/>
  </r>
  <r>
    <x v="552"/>
    <s v="Cairo"/>
    <s v="Mandalay"/>
    <s v="Normal"/>
    <s v="Female"/>
    <s v="Health and beauty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  <x v="1"/>
    <n v="4.7619047619047619"/>
    <s v="Excellent"/>
    <m/>
    <x v="0"/>
  </r>
  <r>
    <x v="553"/>
    <s v="Giza"/>
    <s v="Naypyitaw"/>
    <s v="Normal"/>
    <s v="Male"/>
    <s v="Electronic accessories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  <x v="1"/>
    <n v="4.761904761904761"/>
    <s v="Excellent"/>
    <m/>
    <x v="0"/>
  </r>
  <r>
    <x v="554"/>
    <s v="Alex"/>
    <s v="Yangon"/>
    <s v="Member"/>
    <s v="Male"/>
    <s v="Electronic accessories"/>
    <n v="19.32"/>
    <n v="7"/>
    <n v="6.7619999999999996"/>
    <n v="142.00200000000001"/>
    <s v="3/25/2019"/>
    <d v="1899-12-30T18:51:00"/>
    <s v="Cash"/>
    <n v="135.24"/>
    <n v="4.7619047620000003"/>
    <n v="6.7619999999999996"/>
    <n v="6.9"/>
    <x v="2"/>
    <n v="4.7619047619047628"/>
    <s v="Excellent"/>
    <m/>
    <x v="0"/>
  </r>
  <r>
    <x v="555"/>
    <s v="Cairo"/>
    <s v="Mandalay"/>
    <s v="Normal"/>
    <s v="Male"/>
    <s v="Home and lifestyle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  <x v="2"/>
    <n v="4.761904761904761"/>
    <s v="Good"/>
    <m/>
    <x v="0"/>
  </r>
  <r>
    <x v="556"/>
    <s v="Cairo"/>
    <s v="Mandalay"/>
    <s v="Member"/>
    <s v="Female"/>
    <s v="Fashion accessories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  <x v="2"/>
    <n v="4.7619047619047619"/>
    <s v="Good"/>
    <m/>
    <x v="0"/>
  </r>
  <r>
    <x v="557"/>
    <s v="Giza"/>
    <s v="Naypyitaw"/>
    <s v="Member"/>
    <s v="Female"/>
    <s v="Food and beverages"/>
    <n v="98.52"/>
    <n v="10"/>
    <n v="49.26"/>
    <n v="1034.46"/>
    <s v="1/30/2019"/>
    <d v="1899-12-30T20:23:00"/>
    <s v="Ewallet"/>
    <n v="985.2"/>
    <n v="4.7619047620000003"/>
    <n v="49.26"/>
    <n v="4.5"/>
    <x v="2"/>
    <n v="4.7619047619047628"/>
    <s v="Excellent"/>
    <m/>
    <x v="0"/>
  </r>
  <r>
    <x v="558"/>
    <s v="Alex"/>
    <s v="Yangon"/>
    <s v="Member"/>
    <s v="Male"/>
    <s v="Food and beverages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  <x v="3"/>
    <n v="4.7619047619047619"/>
    <s v="Average"/>
    <m/>
    <x v="0"/>
  </r>
  <r>
    <x v="559"/>
    <s v="Alex"/>
    <s v="Yangon"/>
    <s v="Member"/>
    <s v="Female"/>
    <s v="Home and lifestyle"/>
    <n v="72.42"/>
    <n v="3"/>
    <n v="10.863"/>
    <n v="228.12299999999999"/>
    <s v="3/29/2019"/>
    <d v="1899-12-30T16:54:00"/>
    <s v="Ewallet"/>
    <n v="217.26"/>
    <n v="4.7619047620000003"/>
    <n v="10.863"/>
    <n v="8.1999999999999993"/>
    <x v="2"/>
    <n v="4.761904761904761"/>
    <s v="Average"/>
    <m/>
    <x v="0"/>
  </r>
  <r>
    <x v="560"/>
    <s v="Cairo"/>
    <s v="Mandalay"/>
    <s v="Normal"/>
    <s v="Male"/>
    <s v="Electronic accessories"/>
    <n v="21.58"/>
    <n v="9"/>
    <n v="9.7110000000000003"/>
    <n v="203.93100000000001"/>
    <s v="3/14/2019"/>
    <d v="1899-12-30T12:32:00"/>
    <s v="Cash"/>
    <n v="194.22"/>
    <n v="4.7619047620000003"/>
    <n v="9.7110000000000003"/>
    <n v="7.3"/>
    <x v="2"/>
    <n v="4.7619047619047619"/>
    <s v="Excellent"/>
    <m/>
    <x v="0"/>
  </r>
  <r>
    <x v="561"/>
    <s v="Giza"/>
    <s v="Naypyitaw"/>
    <s v="Normal"/>
    <s v="Male"/>
    <s v="Food and beverages"/>
    <n v="89.2"/>
    <n v="10"/>
    <n v="44.6"/>
    <n v="936.6"/>
    <d v="2019-11-02T00:00:00"/>
    <d v="1899-12-30T15:42:00"/>
    <s v="Credit card"/>
    <n v="892"/>
    <n v="4.7619047620000003"/>
    <n v="44.6"/>
    <n v="4.4000000000000004"/>
    <x v="2"/>
    <n v="4.7619047619047619"/>
    <s v="Good"/>
    <m/>
    <x v="0"/>
  </r>
  <r>
    <x v="562"/>
    <s v="Cairo"/>
    <s v="Mandalay"/>
    <s v="Normal"/>
    <s v="Female"/>
    <s v="Electronic accessories"/>
    <n v="42.42"/>
    <n v="8"/>
    <n v="16.968"/>
    <n v="356.32799999999997"/>
    <s v="1/30/2019"/>
    <d v="1899-12-30T13:58:00"/>
    <s v="Ewallet"/>
    <n v="339.36"/>
    <n v="4.7619047620000003"/>
    <n v="16.968"/>
    <n v="5.7"/>
    <x v="1"/>
    <n v="4.7619047619047619"/>
    <s v="Average"/>
    <m/>
    <x v="0"/>
  </r>
  <r>
    <x v="563"/>
    <s v="Alex"/>
    <s v="Yangon"/>
    <s v="Member"/>
    <s v="Male"/>
    <s v="Electronic accessories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  <x v="2"/>
    <n v="4.7619047619047628"/>
    <s v="Average"/>
    <m/>
    <x v="0"/>
  </r>
  <r>
    <x v="564"/>
    <s v="Cairo"/>
    <s v="Mandalay"/>
    <s v="Normal"/>
    <s v="Male"/>
    <s v="Fashion accessories"/>
    <n v="99.25"/>
    <n v="2"/>
    <n v="9.9250000000000007"/>
    <n v="208.42500000000001"/>
    <s v="3/20/2019"/>
    <d v="1899-12-30T13:02:00"/>
    <s v="Cash"/>
    <n v="198.5"/>
    <n v="4.7619047620000003"/>
    <n v="9.9250000000000007"/>
    <n v="9"/>
    <x v="2"/>
    <n v="4.7619047619047628"/>
    <s v="Average"/>
    <m/>
    <x v="0"/>
  </r>
  <r>
    <x v="565"/>
    <s v="Alex"/>
    <s v="Yangon"/>
    <s v="Normal"/>
    <s v="Female"/>
    <s v="Food and beverages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  <x v="2"/>
    <n v="4.7619047619047619"/>
    <s v="Excellent"/>
    <m/>
    <x v="0"/>
  </r>
  <r>
    <x v="566"/>
    <s v="Giza"/>
    <s v="Naypyitaw"/>
    <s v="Normal"/>
    <s v="Female"/>
    <s v="Sports and travel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  <x v="1"/>
    <n v="4.7619047619047619"/>
    <s v="Good"/>
    <m/>
    <x v="0"/>
  </r>
  <r>
    <x v="567"/>
    <s v="Alex"/>
    <s v="Yangon"/>
    <s v="Normal"/>
    <s v="Female"/>
    <s v="Fashion accessories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x v="1"/>
    <n v="4.7619047619047619"/>
    <s v="Excellent"/>
    <m/>
    <x v="0"/>
  </r>
  <r>
    <x v="568"/>
    <s v="Cairo"/>
    <s v="Mandalay"/>
    <s v="Normal"/>
    <s v="Female"/>
    <s v="Fashion accessories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  <x v="1"/>
    <n v="4.761904761904761"/>
    <s v="Good"/>
    <m/>
    <x v="0"/>
  </r>
  <r>
    <x v="569"/>
    <s v="Giza"/>
    <s v="Naypyitaw"/>
    <s v="Normal"/>
    <s v="Female"/>
    <s v="Sports and travel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  <x v="1"/>
    <n v="4.7619047619047619"/>
    <s v="Average"/>
    <m/>
    <x v="0"/>
  </r>
  <r>
    <x v="570"/>
    <s v="Cairo"/>
    <s v="Mandalay"/>
    <s v="Member"/>
    <s v="Female"/>
    <s v="Home and lifestyle"/>
    <n v="82.04"/>
    <n v="5"/>
    <n v="20.51"/>
    <n v="430.71"/>
    <s v="2/25/2019"/>
    <d v="1899-12-30T17:16:00"/>
    <s v="Credit card"/>
    <n v="410.2"/>
    <n v="4.7619047620000003"/>
    <n v="20.51"/>
    <n v="7.6"/>
    <x v="1"/>
    <n v="4.7619047619047619"/>
    <s v="Average"/>
    <m/>
    <x v="0"/>
  </r>
  <r>
    <x v="571"/>
    <s v="Cairo"/>
    <s v="Mandalay"/>
    <s v="Member"/>
    <s v="Male"/>
    <s v="Sports and travel"/>
    <n v="26.67"/>
    <n v="10"/>
    <n v="13.335000000000001"/>
    <n v="280.03500000000003"/>
    <s v="1/29/2019"/>
    <d v="1899-12-30T11:48:00"/>
    <s v="Cash"/>
    <n v="266.7"/>
    <n v="4.7619047620000003"/>
    <n v="13.335000000000001"/>
    <n v="8.6"/>
    <x v="2"/>
    <n v="4.7619047619047628"/>
    <s v="Good"/>
    <m/>
    <x v="0"/>
  </r>
  <r>
    <x v="572"/>
    <s v="Alex"/>
    <s v="Yangon"/>
    <s v="Member"/>
    <s v="Male"/>
    <s v="Food and beverages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  <x v="2"/>
    <n v="4.7619047619047619"/>
    <s v="Excellent"/>
    <m/>
    <x v="0"/>
  </r>
  <r>
    <x v="573"/>
    <s v="Cairo"/>
    <s v="Mandalay"/>
    <s v="Normal"/>
    <s v="Male"/>
    <s v="Food and beverages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  <x v="2"/>
    <n v="4.7619047619047628"/>
    <s v="Excellent"/>
    <m/>
    <x v="0"/>
  </r>
  <r>
    <x v="574"/>
    <s v="Alex"/>
    <s v="Yangon"/>
    <s v="Normal"/>
    <s v="Male"/>
    <s v="Sports and travel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  <x v="2"/>
    <n v="4.7619047619047619"/>
    <s v="Excellent"/>
    <m/>
    <x v="0"/>
  </r>
  <r>
    <x v="575"/>
    <s v="Cairo"/>
    <s v="Mandalay"/>
    <s v="Member"/>
    <s v="Male"/>
    <s v="Fashion accessories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  <x v="2"/>
    <n v="4.7619047619047619"/>
    <s v="Excellent"/>
    <m/>
    <x v="0"/>
  </r>
  <r>
    <x v="576"/>
    <s v="Cairo"/>
    <s v="Mandalay"/>
    <s v="Normal"/>
    <s v="Male"/>
    <s v="Food and beverages"/>
    <n v="60.3"/>
    <n v="4"/>
    <n v="12.06"/>
    <n v="253.26"/>
    <s v="2/20/2019"/>
    <d v="1899-12-30T18:43:00"/>
    <s v="Cash"/>
    <n v="241.2"/>
    <n v="4.7619047620000003"/>
    <n v="12.06"/>
    <n v="5.8"/>
    <x v="1"/>
    <n v="4.7619047619047619"/>
    <s v="Good"/>
    <m/>
    <x v="0"/>
  </r>
  <r>
    <x v="577"/>
    <s v="Giza"/>
    <s v="Naypyitaw"/>
    <s v="Normal"/>
    <s v="Male"/>
    <s v="Food and beverages"/>
    <n v="31.77"/>
    <n v="4"/>
    <n v="6.3540000000000001"/>
    <n v="133.434"/>
    <s v="1/14/2019"/>
    <d v="1899-12-30T14:43:00"/>
    <s v="Ewallet"/>
    <n v="127.08"/>
    <n v="4.7619047620000003"/>
    <n v="6.3540000000000001"/>
    <n v="6.2"/>
    <x v="2"/>
    <n v="4.7619047619047628"/>
    <s v="Average"/>
    <m/>
    <x v="0"/>
  </r>
  <r>
    <x v="578"/>
    <s v="Alex"/>
    <s v="Yangon"/>
    <s v="Normal"/>
    <s v="Female"/>
    <s v="Health and beauty"/>
    <n v="64.27"/>
    <n v="4"/>
    <n v="12.853999999999999"/>
    <n v="269.93400000000003"/>
    <s v="3/26/2019"/>
    <d v="1899-12-30T13:54:00"/>
    <s v="Cash"/>
    <n v="257.08"/>
    <n v="4.7619047620000003"/>
    <n v="12.853999999999999"/>
    <n v="7.7"/>
    <x v="2"/>
    <n v="4.7619047619047628"/>
    <s v="Good"/>
    <m/>
    <x v="0"/>
  </r>
  <r>
    <x v="579"/>
    <s v="Cairo"/>
    <s v="Mandalay"/>
    <s v="Normal"/>
    <s v="Male"/>
    <s v="Health and beauty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  <x v="2"/>
    <n v="4.761904761904761"/>
    <s v="Good"/>
    <m/>
    <x v="0"/>
  </r>
  <r>
    <x v="580"/>
    <s v="Giza"/>
    <s v="Naypyitaw"/>
    <s v="Normal"/>
    <s v="Male"/>
    <s v="Food and beverages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  <x v="2"/>
    <n v="4.7619047619047619"/>
    <s v="Excellent"/>
    <m/>
    <x v="0"/>
  </r>
  <r>
    <x v="581"/>
    <s v="Alex"/>
    <s v="Yangon"/>
    <s v="Member"/>
    <s v="Female"/>
    <s v="Health and beauty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  <x v="2"/>
    <n v="4.7619047619047628"/>
    <s v="Good"/>
    <m/>
    <x v="0"/>
  </r>
  <r>
    <x v="582"/>
    <s v="Giza"/>
    <s v="Naypyitaw"/>
    <s v="Member"/>
    <s v="Female"/>
    <s v="Fashion accessories"/>
    <n v="92.98"/>
    <n v="2"/>
    <n v="9.298"/>
    <n v="195.25800000000001"/>
    <s v="2/13/2019"/>
    <d v="1899-12-30T15:06:00"/>
    <s v="Credit card"/>
    <n v="185.96"/>
    <n v="4.7619047620000003"/>
    <n v="9.298"/>
    <n v="8"/>
    <x v="2"/>
    <n v="4.7619047619047628"/>
    <s v="Excellent"/>
    <m/>
    <x v="0"/>
  </r>
  <r>
    <x v="583"/>
    <s v="Cairo"/>
    <s v="Mandalay"/>
    <s v="Member"/>
    <s v="Female"/>
    <s v="Fashion accessories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  <x v="2"/>
    <n v="4.7619047619047619"/>
    <s v="Excellent"/>
    <m/>
    <x v="0"/>
  </r>
  <r>
    <x v="584"/>
    <s v="Cairo"/>
    <s v="Mandalay"/>
    <s v="Normal"/>
    <s v="Male"/>
    <s v="Sports and travel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  <x v="2"/>
    <n v="4.7619047619047619"/>
    <s v="Excellent"/>
    <m/>
    <x v="0"/>
  </r>
  <r>
    <x v="585"/>
    <s v="Alex"/>
    <s v="Yangon"/>
    <s v="Normal"/>
    <s v="Male"/>
    <s v="Health and beauty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  <x v="2"/>
    <n v="4.7619047619047619"/>
    <s v="Good"/>
    <m/>
    <x v="0"/>
  </r>
  <r>
    <x v="586"/>
    <s v="Alex"/>
    <s v="Yangon"/>
    <s v="Normal"/>
    <s v="Female"/>
    <s v="Food and beverages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  <x v="2"/>
    <n v="4.7619047619047628"/>
    <s v="Excellent"/>
    <m/>
    <x v="0"/>
  </r>
  <r>
    <x v="587"/>
    <s v="Alex"/>
    <s v="Yangon"/>
    <s v="Normal"/>
    <s v="Female"/>
    <s v="Sports and travel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  <x v="2"/>
    <n v="4.7619047619047619"/>
    <s v="Excellent"/>
    <m/>
    <x v="0"/>
  </r>
  <r>
    <x v="588"/>
    <s v="Giza"/>
    <s v="Naypyitaw"/>
    <s v="Normal"/>
    <s v="Male"/>
    <s v="Fashion accessories"/>
    <n v="59.61"/>
    <n v="10"/>
    <n v="29.805"/>
    <n v="625.90499999999997"/>
    <s v="3/14/2019"/>
    <d v="1899-12-30T11:07:00"/>
    <s v="Cash"/>
    <n v="596.1"/>
    <n v="4.7619047620000003"/>
    <n v="29.805"/>
    <n v="5.3"/>
    <x v="2"/>
    <n v="4.7619047619047628"/>
    <s v="Good"/>
    <m/>
    <x v="0"/>
  </r>
  <r>
    <x v="589"/>
    <s v="Alex"/>
    <s v="Yangon"/>
    <s v="Normal"/>
    <s v="Male"/>
    <s v="Health and beauty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  <x v="1"/>
    <n v="4.7619047619047628"/>
    <s v="Average"/>
    <m/>
    <x v="0"/>
  </r>
  <r>
    <x v="590"/>
    <s v="Giza"/>
    <s v="Naypyitaw"/>
    <s v="Member"/>
    <s v="Male"/>
    <s v="Health and beauty"/>
    <n v="46.53"/>
    <n v="6"/>
    <n v="13.959"/>
    <n v="293.13900000000001"/>
    <d v="2019-03-03T00:00:00"/>
    <d v="1899-12-30T10:54:00"/>
    <s v="Credit card"/>
    <n v="279.18"/>
    <n v="4.7619047620000003"/>
    <n v="13.959"/>
    <n v="4.3"/>
    <x v="2"/>
    <n v="4.7619047619047619"/>
    <s v="Average"/>
    <m/>
    <x v="0"/>
  </r>
  <r>
    <x v="591"/>
    <s v="Giza"/>
    <s v="Naypyitaw"/>
    <s v="Member"/>
    <s v="Female"/>
    <s v="Home and lifestyle"/>
    <n v="24.24"/>
    <n v="7"/>
    <n v="8.484"/>
    <n v="178.16399999999999"/>
    <s v="1/27/2019"/>
    <d v="1899-12-30T17:38:00"/>
    <s v="Ewallet"/>
    <n v="169.68"/>
    <n v="4.7619047620000003"/>
    <n v="8.484"/>
    <n v="9.4"/>
    <x v="2"/>
    <n v="4.7619047619047619"/>
    <s v="Average"/>
    <m/>
    <x v="0"/>
  </r>
  <r>
    <x v="592"/>
    <s v="Alex"/>
    <s v="Yangon"/>
    <s v="Member"/>
    <s v="Female"/>
    <s v="Sports and travel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  <x v="2"/>
    <n v="4.7619047619047628"/>
    <s v="Excellent"/>
    <m/>
    <x v="0"/>
  </r>
  <r>
    <x v="593"/>
    <s v="Alex"/>
    <s v="Yangon"/>
    <s v="Member"/>
    <s v="Female"/>
    <s v="Sports and travel"/>
    <n v="75.2"/>
    <n v="3"/>
    <n v="11.28"/>
    <n v="236.88"/>
    <d v="2019-05-02T00:00:00"/>
    <d v="1899-12-30T11:51:00"/>
    <s v="Ewallet"/>
    <n v="225.6"/>
    <n v="4.7619047620000003"/>
    <n v="11.28"/>
    <n v="4.8"/>
    <x v="2"/>
    <n v="4.7619047619047619"/>
    <s v="Excellent"/>
    <m/>
    <x v="0"/>
  </r>
  <r>
    <x v="594"/>
    <s v="Cairo"/>
    <s v="Mandalay"/>
    <s v="Member"/>
    <s v="Male"/>
    <s v="Sports and travel"/>
    <n v="96.8"/>
    <n v="3"/>
    <n v="14.52"/>
    <n v="304.92"/>
    <s v="3/15/2019"/>
    <d v="1899-12-30T13:05:00"/>
    <s v="Cash"/>
    <n v="290.39999999999998"/>
    <n v="4.7619047620000003"/>
    <n v="14.52"/>
    <n v="5.3"/>
    <x v="2"/>
    <n v="4.7619047619047619"/>
    <s v="Average"/>
    <m/>
    <x v="0"/>
  </r>
  <r>
    <x v="595"/>
    <s v="Cairo"/>
    <s v="Mandalay"/>
    <s v="Normal"/>
    <s v="Male"/>
    <s v="Health and beauty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  <x v="2"/>
    <n v="4.7619047619047619"/>
    <s v="Average"/>
    <m/>
    <x v="0"/>
  </r>
  <r>
    <x v="596"/>
    <s v="Alex"/>
    <s v="Yangon"/>
    <s v="Normal"/>
    <s v="Male"/>
    <s v="Food and beverages"/>
    <n v="52.2"/>
    <n v="3"/>
    <n v="7.83"/>
    <n v="164.43"/>
    <s v="2/15/2019"/>
    <d v="1899-12-30T13:30:00"/>
    <s v="Credit card"/>
    <n v="156.6"/>
    <n v="4.7619047620000003"/>
    <n v="7.83"/>
    <n v="9.5"/>
    <x v="2"/>
    <n v="4.7619047619047619"/>
    <s v="Excellent"/>
    <m/>
    <x v="0"/>
  </r>
  <r>
    <x v="597"/>
    <s v="Giza"/>
    <s v="Naypyitaw"/>
    <s v="Normal"/>
    <s v="Female"/>
    <s v="Sports and travel"/>
    <n v="46.66"/>
    <n v="9"/>
    <n v="20.997"/>
    <n v="440.93700000000001"/>
    <s v="2/17/2019"/>
    <d v="1899-12-30T19:11:00"/>
    <s v="Ewallet"/>
    <n v="419.94"/>
    <n v="4.7619047620000003"/>
    <n v="20.997"/>
    <n v="5.3"/>
    <x v="2"/>
    <n v="4.7619047619047619"/>
    <s v="Excellent"/>
    <m/>
    <x v="0"/>
  </r>
  <r>
    <x v="598"/>
    <s v="Giza"/>
    <s v="Naypyitaw"/>
    <s v="Normal"/>
    <s v="Female"/>
    <s v="Fashion accessories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  <x v="2"/>
    <n v="4.7619047619047619"/>
    <s v="Average"/>
    <m/>
    <x v="0"/>
  </r>
  <r>
    <x v="599"/>
    <s v="Alex"/>
    <s v="Yangon"/>
    <s v="Member"/>
    <s v="Female"/>
    <s v="Home and lifestyle"/>
    <n v="70.319999999999993"/>
    <n v="2"/>
    <n v="7.032"/>
    <n v="147.672"/>
    <s v="3/24/2019"/>
    <d v="1899-12-30T14:22:00"/>
    <s v="Ewallet"/>
    <n v="140.63999999999999"/>
    <n v="4.7619047620000003"/>
    <n v="7.032"/>
    <n v="9.6"/>
    <x v="2"/>
    <n v="4.7619047619047619"/>
    <s v="Excellent"/>
    <m/>
    <x v="0"/>
  </r>
  <r>
    <x v="600"/>
    <s v="Giza"/>
    <s v="Naypyitaw"/>
    <s v="Normal"/>
    <s v="Male"/>
    <s v="Electronic accessories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  <x v="2"/>
    <n v="4.7619047619047628"/>
    <s v="Excellent"/>
    <m/>
    <x v="0"/>
  </r>
  <r>
    <x v="601"/>
    <s v="Giza"/>
    <s v="Naypyitaw"/>
    <s v="Normal"/>
    <s v="Female"/>
    <s v="Fashion accessories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  <x v="2"/>
    <n v="4.7619047619047628"/>
    <s v="Good"/>
    <m/>
    <x v="0"/>
  </r>
  <r>
    <x v="602"/>
    <s v="Giza"/>
    <s v="Naypyitaw"/>
    <s v="Normal"/>
    <s v="Male"/>
    <s v="Food and beverages"/>
    <n v="77.56"/>
    <n v="10"/>
    <n v="38.78"/>
    <n v="814.38"/>
    <s v="3/14/2019"/>
    <d v="1899-12-30T20:35:00"/>
    <s v="Ewallet"/>
    <n v="775.6"/>
    <n v="4.7619047620000003"/>
    <n v="38.78"/>
    <n v="6.9"/>
    <x v="2"/>
    <n v="4.761904761904761"/>
    <s v="Average"/>
    <m/>
    <x v="0"/>
  </r>
  <r>
    <x v="603"/>
    <s v="Cairo"/>
    <s v="Mandalay"/>
    <s v="Normal"/>
    <s v="Female"/>
    <s v="Sports and travel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  <x v="1"/>
    <n v="4.7619047619047628"/>
    <s v="Good"/>
    <m/>
    <x v="0"/>
  </r>
  <r>
    <x v="604"/>
    <s v="Giza"/>
    <s v="Naypyitaw"/>
    <s v="Member"/>
    <s v="Female"/>
    <s v="Fashion accessories"/>
    <n v="51.89"/>
    <n v="7"/>
    <n v="18.1615"/>
    <n v="381.39150000000001"/>
    <d v="2019-08-01T00:00:00"/>
    <d v="1899-12-30T20:08:00"/>
    <s v="Cash"/>
    <n v="363.23"/>
    <n v="4.7619047620000003"/>
    <n v="18.1615"/>
    <n v="4.5"/>
    <x v="2"/>
    <n v="4.7619047619047628"/>
    <s v="Good"/>
    <m/>
    <x v="0"/>
  </r>
  <r>
    <x v="605"/>
    <s v="Cairo"/>
    <s v="Mandalay"/>
    <s v="Normal"/>
    <s v="Male"/>
    <s v="Home and lifestyle"/>
    <n v="31.75"/>
    <n v="4"/>
    <n v="6.35"/>
    <n v="133.35"/>
    <d v="2019-08-02T00:00:00"/>
    <d v="1899-12-30T15:26:00"/>
    <s v="Cash"/>
    <n v="127"/>
    <n v="4.7619047620000003"/>
    <n v="6.35"/>
    <n v="8.6"/>
    <x v="2"/>
    <n v="4.7619047619047619"/>
    <s v="Average"/>
    <m/>
    <x v="0"/>
  </r>
  <r>
    <x v="606"/>
    <s v="Alex"/>
    <s v="Yangon"/>
    <s v="Member"/>
    <s v="Female"/>
    <s v="Fashion accessories"/>
    <n v="53.65"/>
    <n v="7"/>
    <n v="18.7775"/>
    <n v="394.32749999999999"/>
    <d v="2019-10-02T00:00:00"/>
    <d v="1899-12-30T12:56:00"/>
    <s v="Ewallet"/>
    <n v="375.55"/>
    <n v="4.7619047620000003"/>
    <n v="18.7775"/>
    <n v="5.2"/>
    <x v="2"/>
    <n v="4.7619047619047619"/>
    <s v="Excellent"/>
    <m/>
    <x v="0"/>
  </r>
  <r>
    <x v="607"/>
    <s v="Giza"/>
    <s v="Naypyitaw"/>
    <s v="Member"/>
    <s v="Female"/>
    <s v="Food and beverages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  <x v="2"/>
    <n v="4.7619047619047628"/>
    <s v="Average"/>
    <m/>
    <x v="0"/>
  </r>
  <r>
    <x v="608"/>
    <s v="Alex"/>
    <s v="Yangon"/>
    <s v="Normal"/>
    <s v="Male"/>
    <s v="Fashion accessories"/>
    <n v="30.61"/>
    <n v="1"/>
    <n v="1.5305"/>
    <n v="32.140500000000003"/>
    <s v="1/23/2019"/>
    <d v="1899-12-30T12:20:00"/>
    <s v="Ewallet"/>
    <n v="30.61"/>
    <n v="4.7619047620000003"/>
    <n v="1.5305"/>
    <n v="5.2"/>
    <x v="2"/>
    <n v="4.7619047619047628"/>
    <s v="Good"/>
    <m/>
    <x v="0"/>
  </r>
  <r>
    <x v="609"/>
    <s v="Cairo"/>
    <s v="Mandalay"/>
    <s v="Member"/>
    <s v="Male"/>
    <s v="Food and beverages"/>
    <n v="57.89"/>
    <n v="2"/>
    <n v="5.7889999999999997"/>
    <n v="121.569"/>
    <s v="1/17/2019"/>
    <d v="1899-12-30T10:37:00"/>
    <s v="Ewallet"/>
    <n v="115.78"/>
    <n v="4.7619047620000003"/>
    <n v="5.7889999999999997"/>
    <n v="8.9"/>
    <x v="2"/>
    <n v="4.7619047619047619"/>
    <s v="Average"/>
    <m/>
    <x v="0"/>
  </r>
  <r>
    <x v="610"/>
    <s v="Alex"/>
    <s v="Yangon"/>
    <s v="Normal"/>
    <s v="Female"/>
    <s v="Electronic accessories"/>
    <n v="28.96"/>
    <n v="1"/>
    <n v="1.448"/>
    <n v="30.408000000000001"/>
    <d v="2019-07-02T00:00:00"/>
    <d v="1899-12-30T10:18:00"/>
    <s v="Credit card"/>
    <n v="28.96"/>
    <n v="4.7619047620000003"/>
    <n v="1.448"/>
    <n v="6.2"/>
    <x v="2"/>
    <n v="4.7619047619047619"/>
    <s v="Excellent"/>
    <m/>
    <x v="0"/>
  </r>
  <r>
    <x v="611"/>
    <s v="Giza"/>
    <s v="Naypyitaw"/>
    <s v="Member"/>
    <s v="Female"/>
    <s v="Food and beverages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  <x v="2"/>
    <n v="4.7619047619047619"/>
    <s v="Good"/>
    <m/>
    <x v="0"/>
  </r>
  <r>
    <x v="612"/>
    <s v="Cairo"/>
    <s v="Mandalay"/>
    <s v="Member"/>
    <s v="Male"/>
    <s v="Fashion accessories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  <x v="1"/>
    <n v="4.7619047619047619"/>
    <s v="Good"/>
    <m/>
    <x v="0"/>
  </r>
  <r>
    <x v="613"/>
    <s v="Giza"/>
    <s v="Naypyitaw"/>
    <s v="Member"/>
    <s v="Male"/>
    <s v="Sports and travel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  <x v="2"/>
    <n v="4.7619047619047628"/>
    <s v="Good"/>
    <m/>
    <x v="0"/>
  </r>
  <r>
    <x v="614"/>
    <s v="Alex"/>
    <s v="Yangon"/>
    <s v="Member"/>
    <s v="Male"/>
    <s v="Food and beverages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  <x v="2"/>
    <n v="4.7619047619047619"/>
    <s v="Excellent"/>
    <m/>
    <x v="0"/>
  </r>
  <r>
    <x v="615"/>
    <s v="Alex"/>
    <s v="Yangon"/>
    <s v="Member"/>
    <s v="Female"/>
    <s v="Sports and travel"/>
    <n v="38.72"/>
    <n v="9"/>
    <n v="17.423999999999999"/>
    <n v="365.904"/>
    <s v="3/20/2019"/>
    <d v="1899-12-30T12:24:00"/>
    <s v="Ewallet"/>
    <n v="348.48"/>
    <n v="4.7619047620000003"/>
    <n v="17.423999999999999"/>
    <n v="4.2"/>
    <x v="1"/>
    <n v="4.7619047619047619"/>
    <s v="Average"/>
    <m/>
    <x v="0"/>
  </r>
  <r>
    <x v="616"/>
    <s v="Cairo"/>
    <s v="Mandalay"/>
    <s v="Member"/>
    <s v="Male"/>
    <s v="Sports and travel"/>
    <n v="72.599999999999994"/>
    <n v="6"/>
    <n v="21.78"/>
    <n v="457.38"/>
    <s v="1/13/2019"/>
    <d v="1899-12-30T19:51:00"/>
    <s v="Cash"/>
    <n v="435.6"/>
    <n v="4.7619047620000003"/>
    <n v="21.78"/>
    <n v="6.9"/>
    <x v="2"/>
    <n v="4.7619047619047619"/>
    <s v="Average"/>
    <m/>
    <x v="0"/>
  </r>
  <r>
    <x v="617"/>
    <s v="Giza"/>
    <s v="Naypyitaw"/>
    <s v="Member"/>
    <s v="Male"/>
    <s v="Electronic accessories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  <x v="2"/>
    <n v="4.7619047619047628"/>
    <s v="Good"/>
    <m/>
    <x v="0"/>
  </r>
  <r>
    <x v="618"/>
    <s v="Alex"/>
    <s v="Yangon"/>
    <s v="Member"/>
    <s v="Male"/>
    <s v="Food and beverages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  <x v="2"/>
    <n v="4.7619047619047619"/>
    <s v="Average"/>
    <m/>
    <x v="0"/>
  </r>
  <r>
    <x v="619"/>
    <s v="Giza"/>
    <s v="Naypyitaw"/>
    <s v="Member"/>
    <s v="Female"/>
    <s v="Fashion accessories"/>
    <n v="43.46"/>
    <n v="6"/>
    <n v="13.038"/>
    <n v="273.798"/>
    <d v="2019-07-02T00:00:00"/>
    <d v="1899-12-30T17:55:00"/>
    <s v="Ewallet"/>
    <n v="260.76"/>
    <n v="4.7619047620000003"/>
    <n v="13.038"/>
    <n v="8.5"/>
    <x v="1"/>
    <n v="4.7619047619047619"/>
    <s v="Average"/>
    <m/>
    <x v="0"/>
  </r>
  <r>
    <x v="620"/>
    <s v="Alex"/>
    <s v="Yangon"/>
    <s v="Normal"/>
    <s v="Female"/>
    <s v="Food and beverages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  <x v="2"/>
    <n v="4.7619047619047619"/>
    <s v="Excellent"/>
    <m/>
    <x v="0"/>
  </r>
  <r>
    <x v="621"/>
    <s v="Alex"/>
    <s v="Yangon"/>
    <s v="Member"/>
    <s v="Female"/>
    <s v="Food and beverages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  <x v="2"/>
    <n v="4.7619047619047628"/>
    <s v="Excellent"/>
    <m/>
    <x v="0"/>
  </r>
  <r>
    <x v="622"/>
    <s v="Cairo"/>
    <s v="Mandalay"/>
    <s v="Member"/>
    <s v="Female"/>
    <s v="Home and lifestyle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  <x v="2"/>
    <n v="4.7619047619047619"/>
    <s v="Excellent"/>
    <m/>
    <x v="0"/>
  </r>
  <r>
    <x v="623"/>
    <s v="Cairo"/>
    <s v="Mandalay"/>
    <s v="Normal"/>
    <s v="Female"/>
    <s v="Fashion accessories"/>
    <n v="83.25"/>
    <n v="10"/>
    <n v="41.625"/>
    <n v="874.125"/>
    <d v="2019-12-01T00:00:00"/>
    <d v="1899-12-30T11:25:00"/>
    <s v="Credit card"/>
    <n v="832.5"/>
    <n v="4.7619047620000003"/>
    <n v="41.625"/>
    <n v="4.4000000000000004"/>
    <x v="1"/>
    <n v="4.7619047619047619"/>
    <s v="Average"/>
    <m/>
    <x v="0"/>
  </r>
  <r>
    <x v="624"/>
    <s v="Cairo"/>
    <s v="Mandalay"/>
    <s v="Member"/>
    <s v="Male"/>
    <s v="Fashion accessories"/>
    <n v="91.35"/>
    <n v="1"/>
    <n v="4.5674999999999999"/>
    <n v="95.917500000000004"/>
    <s v="2/16/2019"/>
    <d v="1899-12-30T15:42:00"/>
    <s v="Cash"/>
    <n v="91.35"/>
    <n v="4.7619047620000003"/>
    <n v="4.5674999999999999"/>
    <n v="6.8"/>
    <x v="1"/>
    <n v="4.7619047619047619"/>
    <s v="Average"/>
    <m/>
    <x v="0"/>
  </r>
  <r>
    <x v="625"/>
    <s v="Cairo"/>
    <s v="Mandalay"/>
    <s v="Member"/>
    <s v="Female"/>
    <s v="Food and beverages"/>
    <n v="78.88"/>
    <n v="2"/>
    <n v="7.8879999999999999"/>
    <n v="165.648"/>
    <s v="1/26/2019"/>
    <d v="1899-12-30T16:04:00"/>
    <s v="Cash"/>
    <n v="157.76"/>
    <n v="4.7619047620000003"/>
    <n v="7.8879999999999999"/>
    <n v="9.1"/>
    <x v="2"/>
    <n v="4.7619047619047619"/>
    <s v="Good"/>
    <m/>
    <x v="0"/>
  </r>
  <r>
    <x v="626"/>
    <s v="Alex"/>
    <s v="Yangon"/>
    <s v="Normal"/>
    <s v="Male"/>
    <s v="Sports and travel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  <x v="2"/>
    <n v="4.7619047619047619"/>
    <s v="Excellent"/>
    <m/>
    <x v="0"/>
  </r>
  <r>
    <x v="627"/>
    <s v="Cairo"/>
    <s v="Mandalay"/>
    <s v="Member"/>
    <s v="Male"/>
    <s v="Health and beauty"/>
    <n v="82.58"/>
    <n v="10"/>
    <n v="41.29"/>
    <n v="867.09"/>
    <s v="3/14/2019"/>
    <d v="1899-12-30T14:41:00"/>
    <s v="Cash"/>
    <n v="825.8"/>
    <n v="4.7619047620000003"/>
    <n v="41.29"/>
    <n v="5"/>
    <x v="2"/>
    <n v="4.7619047619047619"/>
    <s v="Excellent"/>
    <m/>
    <x v="0"/>
  </r>
  <r>
    <x v="628"/>
    <s v="Alex"/>
    <s v="Yangon"/>
    <s v="Member"/>
    <s v="Male"/>
    <s v="Home and lifestyle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  <x v="1"/>
    <n v="4.7619047619047619"/>
    <s v="Average"/>
    <m/>
    <x v="0"/>
  </r>
  <r>
    <x v="629"/>
    <s v="Alex"/>
    <s v="Yangon"/>
    <s v="Normal"/>
    <s v="Female"/>
    <s v="Fashion accessories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  <x v="2"/>
    <n v="4.7619047619047619"/>
    <s v="Good"/>
    <m/>
    <x v="0"/>
  </r>
  <r>
    <x v="630"/>
    <s v="Alex"/>
    <s v="Yangon"/>
    <s v="Normal"/>
    <s v="Male"/>
    <s v="Sports and travel"/>
    <n v="64.19"/>
    <n v="10"/>
    <n v="32.094999999999999"/>
    <n v="673.995"/>
    <s v="1/19/2019"/>
    <d v="1899-12-30T14:08:00"/>
    <s v="Credit card"/>
    <n v="641.9"/>
    <n v="4.7619047620000003"/>
    <n v="32.094999999999999"/>
    <n v="6.7"/>
    <x v="2"/>
    <n v="4.7619047619047628"/>
    <s v="Excellent"/>
    <m/>
    <x v="0"/>
  </r>
  <r>
    <x v="631"/>
    <s v="Alex"/>
    <s v="Yangon"/>
    <s v="Normal"/>
    <s v="Male"/>
    <s v="Electronic accessories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  <x v="1"/>
    <n v="4.7619047619047619"/>
    <s v="Good"/>
    <m/>
    <x v="0"/>
  </r>
  <r>
    <x v="632"/>
    <s v="Alex"/>
    <s v="Yangon"/>
    <s v="Member"/>
    <s v="Male"/>
    <s v="Food and beverages"/>
    <n v="83.77"/>
    <n v="2"/>
    <n v="8.3770000000000007"/>
    <n v="175.917"/>
    <s v="1/15/2019"/>
    <d v="1899-12-30T10:54:00"/>
    <s v="Credit card"/>
    <n v="167.54"/>
    <n v="4.7619047620000003"/>
    <n v="8.3770000000000007"/>
    <n v="7"/>
    <x v="2"/>
    <n v="4.7619047619047619"/>
    <s v="Average"/>
    <m/>
    <x v="0"/>
  </r>
  <r>
    <x v="633"/>
    <s v="Cairo"/>
    <s v="Mandalay"/>
    <s v="Normal"/>
    <s v="Male"/>
    <s v="Home and lifestyle"/>
    <n v="99.7"/>
    <n v="3"/>
    <n v="14.955"/>
    <n v="314.05500000000001"/>
    <s v="3/18/2019"/>
    <d v="1899-12-30T11:29:00"/>
    <s v="Ewallet"/>
    <n v="299.10000000000002"/>
    <n v="4.7619047620000003"/>
    <n v="14.955"/>
    <n v="4.7"/>
    <x v="2"/>
    <n v="4.7619047619047628"/>
    <s v="Good"/>
    <m/>
    <x v="0"/>
  </r>
  <r>
    <x v="634"/>
    <s v="Cairo"/>
    <s v="Mandalay"/>
    <s v="Member"/>
    <s v="Male"/>
    <s v="Food and beverages"/>
    <n v="79.91"/>
    <n v="3"/>
    <n v="11.986499999999999"/>
    <n v="251.7165"/>
    <s v="3/20/2019"/>
    <d v="1899-12-30T19:28:00"/>
    <s v="Credit card"/>
    <n v="239.73"/>
    <n v="4.7619047620000003"/>
    <n v="11.986499999999999"/>
    <n v="5"/>
    <x v="2"/>
    <n v="4.7619047619047619"/>
    <s v="Average"/>
    <m/>
    <x v="0"/>
  </r>
  <r>
    <x v="635"/>
    <s v="Cairo"/>
    <s v="Mandalay"/>
    <s v="Member"/>
    <s v="Male"/>
    <s v="Health and beauty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  <x v="2"/>
    <n v="4.7619047619047619"/>
    <s v="Average"/>
    <m/>
    <x v="0"/>
  </r>
  <r>
    <x v="636"/>
    <s v="Alex"/>
    <s v="Yangon"/>
    <s v="Normal"/>
    <s v="Male"/>
    <s v="Health and beauty"/>
    <n v="28.95"/>
    <n v="7"/>
    <n v="10.1325"/>
    <n v="212.7825"/>
    <d v="2019-03-03T00:00:00"/>
    <d v="1899-12-30T20:31:00"/>
    <s v="Credit card"/>
    <n v="202.65"/>
    <n v="4.7619047620000003"/>
    <n v="10.1325"/>
    <n v="6"/>
    <x v="1"/>
    <n v="4.7619047619047628"/>
    <s v="Average"/>
    <m/>
    <x v="0"/>
  </r>
  <r>
    <x v="637"/>
    <s v="Giza"/>
    <s v="Naypyitaw"/>
    <s v="Normal"/>
    <s v="Female"/>
    <s v="Electronic accessories"/>
    <n v="46.2"/>
    <n v="1"/>
    <n v="2.31"/>
    <n v="48.51"/>
    <s v="3/19/2019"/>
    <d v="1899-12-30T12:16:00"/>
    <s v="Cash"/>
    <n v="46.2"/>
    <n v="4.7619047620000003"/>
    <n v="2.31"/>
    <n v="6.3"/>
    <x v="2"/>
    <n v="4.7619047619047628"/>
    <s v="Good"/>
    <m/>
    <x v="0"/>
  </r>
  <r>
    <x v="638"/>
    <s v="Cairo"/>
    <s v="Mandalay"/>
    <s v="Member"/>
    <s v="Female"/>
    <s v="Food and beverages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  <x v="2"/>
    <n v="4.7619047619047628"/>
    <s v="Good"/>
    <m/>
    <x v="0"/>
  </r>
  <r>
    <x v="639"/>
    <s v="Cairo"/>
    <s v="Mandalay"/>
    <s v="Normal"/>
    <s v="Male"/>
    <s v="Fashion accessories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  <x v="2"/>
    <n v="4.7619047619047619"/>
    <s v="Excellent"/>
    <m/>
    <x v="0"/>
  </r>
  <r>
    <x v="640"/>
    <s v="Cairo"/>
    <s v="Mandalay"/>
    <s v="Member"/>
    <s v="Female"/>
    <s v="Food and beverages"/>
    <n v="98.79"/>
    <n v="3"/>
    <n v="14.8185"/>
    <n v="311.18849999999998"/>
    <s v="2/23/2019"/>
    <d v="1899-12-30T20:00:00"/>
    <s v="Ewallet"/>
    <n v="296.37"/>
    <n v="4.7619047620000003"/>
    <n v="14.8185"/>
    <n v="6.4"/>
    <x v="2"/>
    <n v="4.7619047619047628"/>
    <s v="Good"/>
    <m/>
    <x v="0"/>
  </r>
  <r>
    <x v="641"/>
    <s v="Giza"/>
    <s v="Naypyitaw"/>
    <s v="Member"/>
    <s v="Female"/>
    <s v="Electronic accessories"/>
    <n v="88.55"/>
    <n v="8"/>
    <n v="35.42"/>
    <n v="743.82"/>
    <s v="3/19/2019"/>
    <d v="1899-12-30T15:29:00"/>
    <s v="Ewallet"/>
    <n v="708.4"/>
    <n v="4.7619047620000003"/>
    <n v="35.42"/>
    <n v="4.7"/>
    <x v="2"/>
    <n v="4.7619047619047628"/>
    <s v="Good"/>
    <m/>
    <x v="0"/>
  </r>
  <r>
    <x v="642"/>
    <s v="Cairo"/>
    <s v="Mandalay"/>
    <s v="Member"/>
    <s v="Male"/>
    <s v="Electronic accessories"/>
    <n v="55.67"/>
    <n v="2"/>
    <n v="5.5670000000000002"/>
    <n v="116.907"/>
    <s v="3/27/2019"/>
    <d v="1899-12-30T15:08:00"/>
    <s v="Ewallet"/>
    <n v="111.34"/>
    <n v="4.7619047620000003"/>
    <n v="5.5670000000000002"/>
    <n v="6"/>
    <x v="1"/>
    <n v="4.7619047619047619"/>
    <s v="Average"/>
    <m/>
    <x v="0"/>
  </r>
  <r>
    <x v="643"/>
    <s v="Giza"/>
    <s v="Naypyitaw"/>
    <s v="Member"/>
    <s v="Female"/>
    <s v="Food and beverages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  <x v="2"/>
    <n v="4.7619047619047628"/>
    <s v="Good"/>
    <m/>
    <x v="0"/>
  </r>
  <r>
    <x v="644"/>
    <s v="Giza"/>
    <s v="Naypyitaw"/>
    <s v="Member"/>
    <s v="Male"/>
    <s v="Electronic accessories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  <x v="1"/>
    <n v="4.7619047619047619"/>
    <s v="Average"/>
    <m/>
    <x v="0"/>
  </r>
  <r>
    <x v="645"/>
    <s v="Alex"/>
    <s v="Yangon"/>
    <s v="Member"/>
    <s v="Male"/>
    <s v="Home and lifestyle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  <x v="2"/>
    <n v="4.7619047619047619"/>
    <s v="Average"/>
    <m/>
    <x v="0"/>
  </r>
  <r>
    <x v="646"/>
    <s v="Giza"/>
    <s v="Naypyitaw"/>
    <s v="Normal"/>
    <s v="Male"/>
    <s v="Health and beauty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  <x v="2"/>
    <n v="4.7619047619047619"/>
    <s v="Excellent"/>
    <m/>
    <x v="0"/>
  </r>
  <r>
    <x v="647"/>
    <s v="Cairo"/>
    <s v="Mandalay"/>
    <s v="Member"/>
    <s v="Male"/>
    <s v="Fashion accessories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  <x v="2"/>
    <n v="4.7619047619047619"/>
    <s v="Good"/>
    <m/>
    <x v="0"/>
  </r>
  <r>
    <x v="648"/>
    <s v="Giza"/>
    <s v="Naypyitaw"/>
    <s v="Member"/>
    <s v="Female"/>
    <s v="Sports and travel"/>
    <n v="15.49"/>
    <n v="2"/>
    <n v="1.5489999999999999"/>
    <n v="32.529000000000003"/>
    <s v="1/16/2019"/>
    <d v="1899-12-30T15:10:00"/>
    <s v="Cash"/>
    <n v="30.98"/>
    <n v="4.7619047620000003"/>
    <n v="1.5489999999999999"/>
    <n v="6.3"/>
    <x v="2"/>
    <n v="4.7619047619047619"/>
    <s v="Average"/>
    <m/>
    <x v="0"/>
  </r>
  <r>
    <x v="649"/>
    <s v="Giza"/>
    <s v="Naypyitaw"/>
    <s v="Normal"/>
    <s v="Male"/>
    <s v="Electronic accessories"/>
    <n v="24.74"/>
    <n v="10"/>
    <n v="12.37"/>
    <n v="259.77"/>
    <s v="2/24/2019"/>
    <d v="1899-12-30T16:44:00"/>
    <s v="Cash"/>
    <n v="247.4"/>
    <n v="4.7619047620000003"/>
    <n v="12.37"/>
    <n v="7.1"/>
    <x v="2"/>
    <n v="4.761904761904761"/>
    <s v="Good"/>
    <m/>
    <x v="0"/>
  </r>
  <r>
    <x v="650"/>
    <s v="Cairo"/>
    <s v="Mandalay"/>
    <s v="Normal"/>
    <s v="Male"/>
    <s v="Electronic accessories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  <x v="2"/>
    <n v="4.7619047619047619"/>
    <s v="Good"/>
    <m/>
    <x v="0"/>
  </r>
  <r>
    <x v="651"/>
    <s v="Cairo"/>
    <s v="Mandalay"/>
    <s v="Normal"/>
    <s v="Female"/>
    <s v="Health and beauty"/>
    <n v="55.81"/>
    <n v="6"/>
    <n v="16.742999999999999"/>
    <n v="351.60300000000001"/>
    <s v="1/22/2019"/>
    <d v="1899-12-30T11:52:00"/>
    <s v="Cash"/>
    <n v="334.86"/>
    <n v="4.7619047620000003"/>
    <n v="16.742999999999999"/>
    <n v="9.9"/>
    <x v="2"/>
    <n v="4.7619047619047628"/>
    <s v="Good"/>
    <m/>
    <x v="0"/>
  </r>
  <r>
    <x v="652"/>
    <s v="Alex"/>
    <s v="Yangon"/>
    <s v="Member"/>
    <s v="Male"/>
    <s v="Home and lifestyle"/>
    <n v="72.78"/>
    <n v="10"/>
    <n v="36.39"/>
    <n v="764.19"/>
    <d v="2019-03-02T00:00:00"/>
    <d v="1899-12-30T17:24:00"/>
    <s v="Cash"/>
    <n v="727.8"/>
    <n v="4.7619047620000003"/>
    <n v="36.39"/>
    <n v="7.3"/>
    <x v="2"/>
    <n v="4.7619047619047619"/>
    <s v="Excellent"/>
    <m/>
    <x v="0"/>
  </r>
  <r>
    <x v="653"/>
    <s v="Cairo"/>
    <s v="Mandalay"/>
    <s v="Member"/>
    <s v="Male"/>
    <s v="Sports and travel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  <x v="1"/>
    <n v="4.7619047619047619"/>
    <s v="Good"/>
    <m/>
    <x v="0"/>
  </r>
  <r>
    <x v="654"/>
    <s v="Cairo"/>
    <s v="Mandalay"/>
    <s v="Member"/>
    <s v="Male"/>
    <s v="Fashion accessories"/>
    <n v="60.18"/>
    <n v="4"/>
    <n v="12.036"/>
    <n v="252.756"/>
    <s v="2/16/2019"/>
    <d v="1899-12-30T18:04:00"/>
    <s v="Credit card"/>
    <n v="240.72"/>
    <n v="4.7619047620000003"/>
    <n v="12.036"/>
    <n v="9.4"/>
    <x v="2"/>
    <n v="4.7619047619047628"/>
    <s v="Average"/>
    <m/>
    <x v="0"/>
  </r>
  <r>
    <x v="655"/>
    <s v="Alex"/>
    <s v="Yangon"/>
    <s v="Normal"/>
    <s v="Female"/>
    <s v="Electronic accessories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  <x v="2"/>
    <n v="4.7619047619047619"/>
    <s v="Excellent"/>
    <m/>
    <x v="0"/>
  </r>
  <r>
    <x v="656"/>
    <s v="Giza"/>
    <s v="Naypyitaw"/>
    <s v="Normal"/>
    <s v="Female"/>
    <s v="Electronic accessories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  <x v="2"/>
    <n v="4.7619047619047628"/>
    <s v="Average"/>
    <m/>
    <x v="0"/>
  </r>
  <r>
    <x v="657"/>
    <s v="Alex"/>
    <s v="Yangon"/>
    <s v="Member"/>
    <s v="Female"/>
    <s v="Fashion accessories"/>
    <n v="88.15"/>
    <n v="3"/>
    <n v="13.2225"/>
    <n v="277.67250000000001"/>
    <s v="1/18/2019"/>
    <d v="1899-12-30T10:11:00"/>
    <s v="Ewallet"/>
    <n v="264.45"/>
    <n v="4.7619047620000003"/>
    <n v="13.2225"/>
    <n v="7.9"/>
    <x v="2"/>
    <n v="4.7619047619047619"/>
    <s v="Excellent"/>
    <m/>
    <x v="0"/>
  </r>
  <r>
    <x v="658"/>
    <s v="Alex"/>
    <s v="Yangon"/>
    <s v="Member"/>
    <s v="Female"/>
    <s v="Sports and travel"/>
    <n v="27.93"/>
    <n v="5"/>
    <n v="6.9824999999999999"/>
    <n v="146.63249999999999"/>
    <s v="1/29/2019"/>
    <d v="1899-12-30T15:48:00"/>
    <s v="Cash"/>
    <n v="139.65"/>
    <n v="4.7619047620000003"/>
    <n v="6.9824999999999999"/>
    <n v="5.9"/>
    <x v="2"/>
    <n v="4.7619047619047619"/>
    <s v="Good"/>
    <m/>
    <x v="0"/>
  </r>
  <r>
    <x v="659"/>
    <s v="Alex"/>
    <s v="Yangon"/>
    <s v="Member"/>
    <s v="Male"/>
    <s v="Fashion accessories"/>
    <n v="55.45"/>
    <n v="1"/>
    <n v="2.7725"/>
    <n v="58.222499999999997"/>
    <s v="2/26/2019"/>
    <d v="1899-12-30T17:46:00"/>
    <s v="Credit card"/>
    <n v="55.45"/>
    <n v="4.7619047620000003"/>
    <n v="2.7725"/>
    <n v="4.9000000000000004"/>
    <x v="2"/>
    <n v="4.7619047619047628"/>
    <s v="Average"/>
    <m/>
    <x v="0"/>
  </r>
  <r>
    <x v="660"/>
    <s v="Cairo"/>
    <s v="Mandalay"/>
    <s v="Normal"/>
    <s v="Female"/>
    <s v="Sports and travel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  <x v="2"/>
    <n v="4.7619047619047628"/>
    <s v="Average"/>
    <m/>
    <x v="0"/>
  </r>
  <r>
    <x v="661"/>
    <s v="Giza"/>
    <s v="Naypyitaw"/>
    <s v="Member"/>
    <s v="Male"/>
    <s v="Sports and travel"/>
    <n v="17.14"/>
    <n v="7"/>
    <n v="5.9989999999999997"/>
    <n v="125.979"/>
    <s v="1/16/2019"/>
    <d v="1899-12-30T12:07:00"/>
    <s v="Credit card"/>
    <n v="119.98"/>
    <n v="4.7619047620000003"/>
    <n v="5.9989999999999997"/>
    <n v="7.9"/>
    <x v="2"/>
    <n v="4.7619047619047619"/>
    <s v="Excellent"/>
    <m/>
    <x v="0"/>
  </r>
  <r>
    <x v="662"/>
    <s v="Cairo"/>
    <s v="Mandalay"/>
    <s v="Member"/>
    <s v="Female"/>
    <s v="Fashion accessories"/>
    <n v="58.75"/>
    <n v="6"/>
    <n v="17.625"/>
    <n v="370.125"/>
    <s v="3/24/2019"/>
    <d v="1899-12-30T18:14:00"/>
    <s v="Credit card"/>
    <n v="352.5"/>
    <n v="4.7619047620000003"/>
    <n v="17.625"/>
    <n v="5.9"/>
    <x v="2"/>
    <n v="4.7619047619047619"/>
    <s v="Good"/>
    <m/>
    <x v="0"/>
  </r>
  <r>
    <x v="663"/>
    <s v="Giza"/>
    <s v="Naypyitaw"/>
    <s v="Member"/>
    <s v="Female"/>
    <s v="Food and beverages"/>
    <n v="87.1"/>
    <n v="10"/>
    <n v="43.55"/>
    <n v="914.55"/>
    <d v="2019-12-02T00:00:00"/>
    <d v="1899-12-30T14:45:00"/>
    <s v="Credit card"/>
    <n v="871"/>
    <n v="4.7619047620000003"/>
    <n v="43.55"/>
    <n v="9.9"/>
    <x v="2"/>
    <n v="4.7619047619047619"/>
    <s v="Average"/>
    <m/>
    <x v="0"/>
  </r>
  <r>
    <x v="664"/>
    <s v="Giza"/>
    <s v="Naypyitaw"/>
    <s v="Normal"/>
    <s v="Female"/>
    <s v="Sports and travel"/>
    <n v="98.8"/>
    <n v="2"/>
    <n v="9.8800000000000008"/>
    <n v="207.48"/>
    <s v="2/21/2019"/>
    <d v="1899-12-30T11:39:00"/>
    <s v="Cash"/>
    <n v="197.6"/>
    <n v="4.7619047620000003"/>
    <n v="9.8800000000000008"/>
    <n v="7.7"/>
    <x v="1"/>
    <n v="4.7619047619047619"/>
    <s v="Excellent"/>
    <m/>
    <x v="0"/>
  </r>
  <r>
    <x v="665"/>
    <s v="Alex"/>
    <s v="Yangon"/>
    <s v="Normal"/>
    <s v="Female"/>
    <s v="Fashion accessories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  <x v="2"/>
    <n v="4.7619047619047628"/>
    <s v="Good"/>
    <m/>
    <x v="0"/>
  </r>
  <r>
    <x v="666"/>
    <s v="Cairo"/>
    <s v="Mandalay"/>
    <s v="Member"/>
    <s v="Male"/>
    <s v="Food and beverages"/>
    <n v="57.74"/>
    <n v="3"/>
    <n v="8.6609999999999996"/>
    <n v="181.881"/>
    <s v="2/20/2019"/>
    <d v="1899-12-30T13:06:00"/>
    <s v="Ewallet"/>
    <n v="173.22"/>
    <n v="4.7619047620000003"/>
    <n v="8.6609999999999996"/>
    <n v="7.7"/>
    <x v="2"/>
    <n v="4.7619047619047628"/>
    <s v="Good"/>
    <m/>
    <x v="0"/>
  </r>
  <r>
    <x v="667"/>
    <s v="Cairo"/>
    <s v="Mandalay"/>
    <s v="Normal"/>
    <s v="Female"/>
    <s v="Health and beauty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  <x v="2"/>
    <n v="4.7619047619047619"/>
    <s v="Good"/>
    <m/>
    <x v="0"/>
  </r>
  <r>
    <x v="668"/>
    <s v="Giza"/>
    <s v="Naypyitaw"/>
    <s v="Member"/>
    <s v="Female"/>
    <s v="Health and beauty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  <x v="2"/>
    <n v="4.7619047619047619"/>
    <s v="Good"/>
    <m/>
    <x v="0"/>
  </r>
  <r>
    <x v="669"/>
    <s v="Cairo"/>
    <s v="Mandalay"/>
    <s v="Normal"/>
    <s v="Female"/>
    <s v="Sports and travel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  <x v="2"/>
    <n v="4.7619047619047628"/>
    <s v="Average"/>
    <m/>
    <x v="0"/>
  </r>
  <r>
    <x v="670"/>
    <s v="Alex"/>
    <s v="Yangon"/>
    <s v="Member"/>
    <s v="Male"/>
    <s v="Fashion accessories"/>
    <n v="56.04"/>
    <n v="10"/>
    <n v="28.02"/>
    <n v="588.41999999999996"/>
    <s v="1/14/2019"/>
    <d v="1899-12-30T19:30:00"/>
    <s v="Ewallet"/>
    <n v="560.4"/>
    <n v="4.7619047620000003"/>
    <n v="28.02"/>
    <n v="4.4000000000000004"/>
    <x v="2"/>
    <n v="4.7619047619047619"/>
    <s v="Average"/>
    <m/>
    <x v="0"/>
  </r>
  <r>
    <x v="671"/>
    <s v="Cairo"/>
    <s v="Mandalay"/>
    <s v="Member"/>
    <s v="Male"/>
    <s v="Food and beverages"/>
    <n v="93.4"/>
    <n v="2"/>
    <n v="9.34"/>
    <n v="196.14"/>
    <s v="3/30/2019"/>
    <d v="1899-12-30T16:34:00"/>
    <s v="Cash"/>
    <n v="186.8"/>
    <n v="4.7619047620000003"/>
    <n v="9.34"/>
    <n v="5.5"/>
    <x v="1"/>
    <n v="4.7619047619047628"/>
    <s v="Average"/>
    <m/>
    <x v="0"/>
  </r>
  <r>
    <x v="672"/>
    <s v="Cairo"/>
    <s v="Mandalay"/>
    <s v="Normal"/>
    <s v="Female"/>
    <s v="Health and beauty"/>
    <n v="73.41"/>
    <n v="3"/>
    <n v="11.0115"/>
    <n v="231.2415"/>
    <d v="2019-02-03T00:00:00"/>
    <d v="1899-12-30T13:10:00"/>
    <s v="Ewallet"/>
    <n v="220.23"/>
    <n v="4.7619047620000003"/>
    <n v="11.0115"/>
    <n v="4"/>
    <x v="2"/>
    <n v="4.7619047619047628"/>
    <s v="Average"/>
    <m/>
    <x v="0"/>
  </r>
  <r>
    <x v="673"/>
    <s v="Giza"/>
    <s v="Naypyitaw"/>
    <s v="Normal"/>
    <s v="Male"/>
    <s v="Health and beauty"/>
    <n v="33.64"/>
    <n v="8"/>
    <n v="13.456"/>
    <n v="282.57600000000002"/>
    <s v="2/15/2019"/>
    <d v="1899-12-30T17:10:00"/>
    <s v="Credit card"/>
    <n v="269.12"/>
    <n v="4.7619047620000003"/>
    <n v="13.456"/>
    <n v="9.3000000000000007"/>
    <x v="2"/>
    <n v="4.7619047619047619"/>
    <s v="Average"/>
    <m/>
    <x v="0"/>
  </r>
  <r>
    <x v="674"/>
    <s v="Alex"/>
    <s v="Yangon"/>
    <s v="Normal"/>
    <s v="Female"/>
    <s v="Electronic accessories"/>
    <n v="45.48"/>
    <n v="10"/>
    <n v="22.74"/>
    <n v="477.54"/>
    <d v="2019-01-03T00:00:00"/>
    <d v="1899-12-30T10:22:00"/>
    <s v="Credit card"/>
    <n v="454.8"/>
    <n v="4.7619047620000003"/>
    <n v="22.74"/>
    <n v="4.8"/>
    <x v="2"/>
    <n v="4.7619047619047619"/>
    <s v="Excellent"/>
    <m/>
    <x v="0"/>
  </r>
  <r>
    <x v="675"/>
    <s v="Cairo"/>
    <s v="Mandalay"/>
    <s v="Member"/>
    <s v="Male"/>
    <s v="Fashion accessories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  <x v="2"/>
    <n v="4.7619047619047619"/>
    <s v="Average"/>
    <m/>
    <x v="0"/>
  </r>
  <r>
    <x v="676"/>
    <s v="Cairo"/>
    <s v="Mandalay"/>
    <s v="Member"/>
    <s v="Female"/>
    <s v="Sports and travel"/>
    <n v="64.08"/>
    <n v="7"/>
    <n v="22.428000000000001"/>
    <n v="470.988"/>
    <s v="2/19/2019"/>
    <d v="1899-12-30T19:29:00"/>
    <s v="Credit card"/>
    <n v="448.56"/>
    <n v="4.7619047620000003"/>
    <n v="22.428000000000001"/>
    <n v="7.3"/>
    <x v="2"/>
    <n v="4.7619047619047628"/>
    <s v="Average"/>
    <m/>
    <x v="0"/>
  </r>
  <r>
    <x v="677"/>
    <s v="Alex"/>
    <s v="Yangon"/>
    <s v="Member"/>
    <s v="Female"/>
    <s v="Food and beverages"/>
    <n v="73.47"/>
    <n v="4"/>
    <n v="14.694000000000001"/>
    <n v="308.57400000000001"/>
    <s v="2/23/2019"/>
    <d v="1899-12-30T18:30:00"/>
    <s v="Cash"/>
    <n v="293.88"/>
    <n v="4.7619047620000003"/>
    <n v="14.694000000000001"/>
    <n v="6"/>
    <x v="2"/>
    <n v="4.7619047619047628"/>
    <s v="Good"/>
    <m/>
    <x v="0"/>
  </r>
  <r>
    <x v="678"/>
    <s v="Giza"/>
    <s v="Naypyitaw"/>
    <s v="Normal"/>
    <s v="Male"/>
    <s v="Health and beauty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  <x v="2"/>
    <n v="4.7619047619047619"/>
    <s v="Good"/>
    <m/>
    <x v="0"/>
  </r>
  <r>
    <x v="679"/>
    <s v="Alex"/>
    <s v="Yangon"/>
    <s v="Member"/>
    <s v="Male"/>
    <s v="Food and beverages"/>
    <n v="48.5"/>
    <n v="6"/>
    <n v="14.55"/>
    <n v="305.55"/>
    <d v="2019-11-01T00:00:00"/>
    <d v="1899-12-30T13:57:00"/>
    <s v="Ewallet"/>
    <n v="291"/>
    <n v="4.7619047620000003"/>
    <n v="14.55"/>
    <n v="9.4"/>
    <x v="1"/>
    <n v="4.7619047619047619"/>
    <s v="Excellent"/>
    <m/>
    <x v="0"/>
  </r>
  <r>
    <x v="680"/>
    <s v="Cairo"/>
    <s v="Mandalay"/>
    <s v="Member"/>
    <s v="Female"/>
    <s v="Electronic accessories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  <x v="2"/>
    <n v="4.7619047619047619"/>
    <s v="Excellent"/>
    <m/>
    <x v="0"/>
  </r>
  <r>
    <x v="681"/>
    <s v="Cairo"/>
    <s v="Mandalay"/>
    <s v="Normal"/>
    <s v="Female"/>
    <s v="Sports and travel"/>
    <n v="34.81"/>
    <n v="1"/>
    <n v="1.7404999999999999"/>
    <n v="36.5505"/>
    <s v="1/14/2019"/>
    <d v="1899-12-30T10:11:00"/>
    <s v="Credit card"/>
    <n v="34.81"/>
    <n v="4.7619047620000003"/>
    <n v="1.7404999999999999"/>
    <n v="7"/>
    <x v="2"/>
    <n v="4.7619047619047619"/>
    <s v="Good"/>
    <m/>
    <x v="0"/>
  </r>
  <r>
    <x v="682"/>
    <s v="Giza"/>
    <s v="Naypyitaw"/>
    <s v="Normal"/>
    <s v="Female"/>
    <s v="Fashion accessories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  <x v="2"/>
    <n v="4.7619047619047619"/>
    <s v="Good"/>
    <m/>
    <x v="0"/>
  </r>
  <r>
    <x v="683"/>
    <s v="Alex"/>
    <s v="Yangon"/>
    <s v="Member"/>
    <s v="Male"/>
    <s v="Fashion accessories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  <x v="2"/>
    <n v="4.7619047619047619"/>
    <s v="Good"/>
    <m/>
    <x v="0"/>
  </r>
  <r>
    <x v="684"/>
    <s v="Cairo"/>
    <s v="Mandalay"/>
    <s v="Member"/>
    <s v="Female"/>
    <s v="Sports and travel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  <x v="2"/>
    <n v="4.7619047619047628"/>
    <s v="Good"/>
    <m/>
    <x v="0"/>
  </r>
  <r>
    <x v="685"/>
    <s v="Cairo"/>
    <s v="Mandalay"/>
    <s v="Member"/>
    <s v="Female"/>
    <s v="Home and lifestyle"/>
    <n v="49.1"/>
    <n v="2"/>
    <n v="4.91"/>
    <n v="103.11"/>
    <d v="2019-08-01T00:00:00"/>
    <d v="1899-12-30T12:58:00"/>
    <s v="Credit card"/>
    <n v="98.2"/>
    <n v="4.7619047620000003"/>
    <n v="4.91"/>
    <n v="6.4"/>
    <x v="2"/>
    <n v="4.7619047619047628"/>
    <s v="Average"/>
    <m/>
    <x v="0"/>
  </r>
  <r>
    <x v="686"/>
    <s v="Cairo"/>
    <s v="Mandalay"/>
    <s v="Member"/>
    <s v="Female"/>
    <s v="Sports and travel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  <x v="2"/>
    <n v="4.7619047619047628"/>
    <s v="Good"/>
    <m/>
    <x v="0"/>
  </r>
  <r>
    <x v="687"/>
    <s v="Alex"/>
    <s v="Yangon"/>
    <s v="Member"/>
    <s v="Male"/>
    <s v="Home and lifestyle"/>
    <n v="63.56"/>
    <n v="10"/>
    <n v="31.78"/>
    <n v="667.38"/>
    <s v="1/16/2019"/>
    <d v="1899-12-30T17:59:00"/>
    <s v="Cash"/>
    <n v="635.6"/>
    <n v="4.7619047620000003"/>
    <n v="31.78"/>
    <n v="4.3"/>
    <x v="2"/>
    <n v="4.7619047619047619"/>
    <s v="Excellent"/>
    <m/>
    <x v="0"/>
  </r>
  <r>
    <x v="688"/>
    <s v="Giza"/>
    <s v="Naypyitaw"/>
    <s v="Member"/>
    <s v="Male"/>
    <s v="Sports and travel"/>
    <n v="72.88"/>
    <n v="2"/>
    <n v="7.2880000000000003"/>
    <n v="153.048"/>
    <s v="3/13/2019"/>
    <d v="1899-12-30T12:51:00"/>
    <s v="Cash"/>
    <n v="145.76"/>
    <n v="4.7619047620000003"/>
    <n v="7.2880000000000003"/>
    <n v="6.1"/>
    <x v="1"/>
    <n v="4.7619047619047628"/>
    <s v="Average"/>
    <m/>
    <x v="0"/>
  </r>
  <r>
    <x v="689"/>
    <s v="Alex"/>
    <s v="Yangon"/>
    <s v="Normal"/>
    <s v="Female"/>
    <s v="Food and beverages"/>
    <n v="67.099999999999994"/>
    <n v="3"/>
    <n v="10.065"/>
    <n v="211.36500000000001"/>
    <s v="2/15/2019"/>
    <d v="1899-12-30T10:36:00"/>
    <s v="Cash"/>
    <n v="201.3"/>
    <n v="4.7619047620000003"/>
    <n v="10.065"/>
    <n v="7.5"/>
    <x v="2"/>
    <n v="4.7619047619047628"/>
    <s v="Good"/>
    <m/>
    <x v="0"/>
  </r>
  <r>
    <x v="690"/>
    <s v="Giza"/>
    <s v="Naypyitaw"/>
    <s v="Member"/>
    <s v="Female"/>
    <s v="Sports and travel"/>
    <n v="70.19"/>
    <n v="9"/>
    <n v="31.5855"/>
    <n v="663.29549999999995"/>
    <s v="1/25/2019"/>
    <d v="1899-12-30T13:38:00"/>
    <s v="Cash"/>
    <n v="631.71"/>
    <n v="4.7619047620000003"/>
    <n v="31.5855"/>
    <n v="6.7"/>
    <x v="2"/>
    <n v="4.7619047619047619"/>
    <s v="Good"/>
    <m/>
    <x v="0"/>
  </r>
  <r>
    <x v="691"/>
    <s v="Giza"/>
    <s v="Naypyitaw"/>
    <s v="Member"/>
    <s v="Male"/>
    <s v="Food and beverages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  <x v="1"/>
    <n v="4.7619047619047628"/>
    <s v="Good"/>
    <m/>
    <x v="0"/>
  </r>
  <r>
    <x v="692"/>
    <s v="Alex"/>
    <s v="Yangon"/>
    <s v="Member"/>
    <s v="Male"/>
    <s v="Health and beauty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  <x v="2"/>
    <n v="4.7619047619047619"/>
    <s v="Average"/>
    <m/>
    <x v="0"/>
  </r>
  <r>
    <x v="693"/>
    <s v="Giza"/>
    <s v="Naypyitaw"/>
    <s v="Member"/>
    <s v="Female"/>
    <s v="Fashion accessories"/>
    <n v="73.38"/>
    <n v="7"/>
    <n v="25.683"/>
    <n v="539.34299999999996"/>
    <d v="2019-10-02T00:00:00"/>
    <d v="1899-12-30T13:56:00"/>
    <s v="Cash"/>
    <n v="513.66"/>
    <n v="4.7619047620000003"/>
    <n v="25.683"/>
    <n v="9.5"/>
    <x v="1"/>
    <n v="4.7619047619047628"/>
    <s v="Excellent"/>
    <m/>
    <x v="0"/>
  </r>
  <r>
    <x v="694"/>
    <s v="Giza"/>
    <s v="Naypyitaw"/>
    <s v="Normal"/>
    <s v="Female"/>
    <s v="Food and beverages"/>
    <n v="52.6"/>
    <n v="9"/>
    <n v="23.67"/>
    <n v="497.07"/>
    <s v="1/16/2019"/>
    <d v="1899-12-30T14:42:00"/>
    <s v="Cash"/>
    <n v="473.4"/>
    <n v="4.7619047620000003"/>
    <n v="23.67"/>
    <n v="7.6"/>
    <x v="1"/>
    <n v="4.7619047619047628"/>
    <s v="Excellent"/>
    <m/>
    <x v="0"/>
  </r>
  <r>
    <x v="695"/>
    <s v="Alex"/>
    <s v="Yangon"/>
    <s v="Member"/>
    <s v="Female"/>
    <s v="Home and lifestyle"/>
    <n v="87.37"/>
    <n v="5"/>
    <n v="21.842500000000001"/>
    <n v="458.6925"/>
    <s v="1/29/2019"/>
    <d v="1899-12-30T19:45:00"/>
    <s v="Cash"/>
    <n v="436.85"/>
    <n v="4.7619047620000003"/>
    <n v="21.842500000000001"/>
    <n v="6.6"/>
    <x v="2"/>
    <n v="4.7619047619047628"/>
    <s v="Good"/>
    <m/>
    <x v="0"/>
  </r>
  <r>
    <x v="696"/>
    <s v="Alex"/>
    <s v="Yangon"/>
    <s v="Member"/>
    <s v="Female"/>
    <s v="Sports and travel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x v="2"/>
    <n v="4.7619047619047628"/>
    <s v="Good"/>
    <m/>
    <x v="0"/>
  </r>
  <r>
    <x v="697"/>
    <s v="Cairo"/>
    <s v="Mandalay"/>
    <s v="Normal"/>
    <s v="Male"/>
    <s v="Home and lifestyle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  <x v="2"/>
    <n v="4.7619047619047628"/>
    <s v="Good"/>
    <m/>
    <x v="0"/>
  </r>
  <r>
    <x v="698"/>
    <s v="Alex"/>
    <s v="Yangon"/>
    <s v="Member"/>
    <s v="Male"/>
    <s v="Electronic accessories"/>
    <n v="69.58"/>
    <n v="9"/>
    <n v="31.311"/>
    <n v="657.53099999999995"/>
    <s v="2/19/2019"/>
    <d v="1899-12-30T19:38:00"/>
    <s v="Credit card"/>
    <n v="626.22"/>
    <n v="4.7619047620000003"/>
    <n v="31.311"/>
    <n v="7.8"/>
    <x v="2"/>
    <n v="4.7619047619047628"/>
    <s v="Average"/>
    <m/>
    <x v="0"/>
  </r>
  <r>
    <x v="699"/>
    <s v="Giza"/>
    <s v="Naypyitaw"/>
    <s v="Normal"/>
    <s v="Male"/>
    <s v="Home and lifestyle"/>
    <n v="97.5"/>
    <n v="10"/>
    <n v="48.75"/>
    <n v="1023.75"/>
    <d v="2019-12-01T00:00:00"/>
    <d v="1899-12-30T16:18:00"/>
    <s v="Ewallet"/>
    <n v="975"/>
    <n v="4.7619047620000003"/>
    <n v="48.75"/>
    <n v="8"/>
    <x v="1"/>
    <n v="4.7619047619047628"/>
    <s v="Good"/>
    <m/>
    <x v="0"/>
  </r>
  <r>
    <x v="700"/>
    <s v="Giza"/>
    <s v="Naypyitaw"/>
    <s v="Normal"/>
    <s v="Female"/>
    <s v="Fashion accessories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  <x v="3"/>
    <n v="4.7619047619047619"/>
    <s v="Excellent"/>
    <m/>
    <x v="0"/>
  </r>
  <r>
    <x v="701"/>
    <s v="Cairo"/>
    <s v="Mandalay"/>
    <s v="Normal"/>
    <s v="Male"/>
    <s v="Food and beverages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  <x v="1"/>
    <n v="4.7619047619047628"/>
    <s v="Excellent"/>
    <m/>
    <x v="0"/>
  </r>
  <r>
    <x v="702"/>
    <s v="Cairo"/>
    <s v="Mandalay"/>
    <s v="Member"/>
    <s v="Female"/>
    <s v="Fashion accessories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  <x v="2"/>
    <n v="4.7619047619047619"/>
    <s v="Average"/>
    <m/>
    <x v="0"/>
  </r>
  <r>
    <x v="703"/>
    <s v="Cairo"/>
    <s v="Mandalay"/>
    <s v="Member"/>
    <s v="Male"/>
    <s v="Health and beauty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  <x v="2"/>
    <n v="4.7619047619047619"/>
    <s v="Average"/>
    <m/>
    <x v="0"/>
  </r>
  <r>
    <x v="704"/>
    <s v="Cairo"/>
    <s v="Mandalay"/>
    <s v="Member"/>
    <s v="Female"/>
    <s v="Home and lifestyle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  <x v="1"/>
    <n v="4.7619047619047619"/>
    <s v="Excellent"/>
    <m/>
    <x v="0"/>
  </r>
  <r>
    <x v="705"/>
    <s v="Cairo"/>
    <s v="Mandalay"/>
    <s v="Normal"/>
    <s v="Male"/>
    <s v="Health and beauty"/>
    <n v="71.77"/>
    <n v="7"/>
    <n v="25.119499999999999"/>
    <n v="527.5095"/>
    <s v="3/29/2019"/>
    <d v="1899-12-30T14:06:00"/>
    <s v="Cash"/>
    <n v="502.39"/>
    <n v="4.7619047620000003"/>
    <n v="25.119499999999999"/>
    <n v="8.9"/>
    <x v="1"/>
    <n v="4.7619047619047628"/>
    <s v="Good"/>
    <m/>
    <x v="0"/>
  </r>
  <r>
    <x v="706"/>
    <s v="Cairo"/>
    <s v="Mandalay"/>
    <s v="Normal"/>
    <s v="Female"/>
    <s v="Electronic accessories"/>
    <n v="43"/>
    <n v="4"/>
    <n v="8.6"/>
    <n v="180.6"/>
    <s v="1/31/2019"/>
    <d v="1899-12-30T20:48:00"/>
    <s v="Ewallet"/>
    <n v="172"/>
    <n v="4.7619047620000003"/>
    <n v="8.6"/>
    <n v="7.6"/>
    <x v="1"/>
    <n v="4.7619047619047619"/>
    <s v="Excellent"/>
    <m/>
    <x v="0"/>
  </r>
  <r>
    <x v="707"/>
    <s v="Giza"/>
    <s v="Naypyitaw"/>
    <s v="Member"/>
    <s v="Male"/>
    <s v="Food and beverages"/>
    <n v="68.98"/>
    <n v="1"/>
    <n v="3.4489999999999998"/>
    <n v="72.429000000000002"/>
    <s v="1/21/2019"/>
    <d v="1899-12-30T20:13:00"/>
    <s v="Cash"/>
    <n v="68.98"/>
    <n v="4.7619047620000003"/>
    <n v="3.4489999999999998"/>
    <n v="4.8"/>
    <x v="2"/>
    <n v="4.7619047619047619"/>
    <s v="Good"/>
    <m/>
    <x v="0"/>
  </r>
  <r>
    <x v="708"/>
    <s v="Giza"/>
    <s v="Naypyitaw"/>
    <s v="Normal"/>
    <s v="Male"/>
    <s v="Fashion accessories"/>
    <n v="15.62"/>
    <n v="8"/>
    <n v="6.2480000000000002"/>
    <n v="131.208"/>
    <s v="1/20/2019"/>
    <d v="1899-12-30T20:37:00"/>
    <s v="Ewallet"/>
    <n v="124.96"/>
    <n v="4.7619047620000003"/>
    <n v="6.2480000000000002"/>
    <n v="9.1"/>
    <x v="2"/>
    <n v="4.7619047619047619"/>
    <s v="Average"/>
    <m/>
    <x v="0"/>
  </r>
  <r>
    <x v="709"/>
    <s v="Alex"/>
    <s v="Yangon"/>
    <s v="Normal"/>
    <s v="Male"/>
    <s v="Sports and travel"/>
    <n v="25.7"/>
    <n v="3"/>
    <n v="3.855"/>
    <n v="80.954999999999998"/>
    <s v="1/17/2019"/>
    <d v="1899-12-30T17:59:00"/>
    <s v="Ewallet"/>
    <n v="77.099999999999994"/>
    <n v="4.7619047620000003"/>
    <n v="3.855"/>
    <n v="6.1"/>
    <x v="2"/>
    <n v="4.7619047619047628"/>
    <s v="Excellent"/>
    <m/>
    <x v="0"/>
  </r>
  <r>
    <x v="710"/>
    <s v="Alex"/>
    <s v="Yangon"/>
    <s v="Member"/>
    <s v="Male"/>
    <s v="Food and beverages"/>
    <n v="80.62"/>
    <n v="6"/>
    <n v="24.186"/>
    <n v="507.90600000000001"/>
    <s v="2/28/2019"/>
    <d v="1899-12-30T20:18:00"/>
    <s v="Cash"/>
    <n v="483.72"/>
    <n v="4.7619047620000003"/>
    <n v="24.186"/>
    <n v="9.1"/>
    <x v="2"/>
    <n v="4.7619047619047619"/>
    <s v="Good"/>
    <m/>
    <x v="0"/>
  </r>
  <r>
    <x v="711"/>
    <s v="Giza"/>
    <s v="Naypyitaw"/>
    <s v="Member"/>
    <s v="Female"/>
    <s v="Home and lifestyle"/>
    <n v="75.53"/>
    <n v="4"/>
    <n v="15.106"/>
    <n v="317.226"/>
    <s v="3/19/2019"/>
    <d v="1899-12-30T15:52:00"/>
    <s v="Ewallet"/>
    <n v="302.12"/>
    <n v="4.7619047620000003"/>
    <n v="15.106"/>
    <n v="8.3000000000000007"/>
    <x v="1"/>
    <n v="4.7619047619047619"/>
    <s v="Excellent"/>
    <m/>
    <x v="0"/>
  </r>
  <r>
    <x v="712"/>
    <s v="Giza"/>
    <s v="Naypyitaw"/>
    <s v="Normal"/>
    <s v="Female"/>
    <s v="Electronic accessories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  <x v="2"/>
    <n v="4.7619047619047619"/>
    <s v="Excellent"/>
    <m/>
    <x v="0"/>
  </r>
  <r>
    <x v="713"/>
    <s v="Giza"/>
    <s v="Naypyitaw"/>
    <s v="Normal"/>
    <s v="Female"/>
    <s v="Health and beauty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  <x v="1"/>
    <n v="4.7619047619047619"/>
    <s v="Good"/>
    <m/>
    <x v="0"/>
  </r>
  <r>
    <x v="714"/>
    <s v="Giza"/>
    <s v="Naypyitaw"/>
    <s v="Member"/>
    <s v="Male"/>
    <s v="Fashion accessories"/>
    <n v="98.7"/>
    <n v="8"/>
    <n v="39.479999999999997"/>
    <n v="829.08"/>
    <s v="1/31/2019"/>
    <d v="1899-12-30T10:36:00"/>
    <s v="Ewallet"/>
    <n v="789.6"/>
    <n v="4.7619047620000003"/>
    <n v="39.479999999999997"/>
    <n v="8.5"/>
    <x v="2"/>
    <n v="4.7619047619047628"/>
    <s v="Good"/>
    <m/>
    <x v="0"/>
  </r>
  <r>
    <x v="715"/>
    <s v="Alex"/>
    <s v="Yangon"/>
    <s v="Normal"/>
    <s v="Female"/>
    <s v="Health and beauty"/>
    <n v="35.68"/>
    <n v="5"/>
    <n v="8.92"/>
    <n v="187.32"/>
    <d v="2019-06-02T00:00:00"/>
    <d v="1899-12-30T18:33:00"/>
    <s v="Credit card"/>
    <n v="178.4"/>
    <n v="4.7619047620000003"/>
    <n v="8.92"/>
    <n v="6.6"/>
    <x v="1"/>
    <n v="4.761904761904761"/>
    <s v="Excellent"/>
    <m/>
    <x v="0"/>
  </r>
  <r>
    <x v="716"/>
    <s v="Alex"/>
    <s v="Yangon"/>
    <s v="Member"/>
    <s v="Female"/>
    <s v="Fashion accessories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  <x v="2"/>
    <n v="4.7619047619047628"/>
    <s v="Good"/>
    <m/>
    <x v="0"/>
  </r>
  <r>
    <x v="717"/>
    <s v="Alex"/>
    <s v="Yangon"/>
    <s v="Member"/>
    <s v="Male"/>
    <s v="Electronic accessories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  <x v="1"/>
    <n v="4.7619047619047619"/>
    <s v="Average"/>
    <m/>
    <x v="0"/>
  </r>
  <r>
    <x v="718"/>
    <s v="Alex"/>
    <s v="Yangon"/>
    <s v="Normal"/>
    <s v="Male"/>
    <s v="Fashion accessories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  <x v="2"/>
    <n v="4.7619047619047628"/>
    <s v="Excellent"/>
    <m/>
    <x v="0"/>
  </r>
  <r>
    <x v="719"/>
    <s v="Cairo"/>
    <s v="Mandalay"/>
    <s v="Member"/>
    <s v="Female"/>
    <s v="Fashion accessories"/>
    <n v="17.48"/>
    <n v="6"/>
    <n v="5.2439999999999998"/>
    <n v="110.124"/>
    <s v="1/18/2019"/>
    <d v="1899-12-30T15:04:00"/>
    <s v="Credit card"/>
    <n v="104.88"/>
    <n v="4.7619047620000003"/>
    <n v="5.2439999999999998"/>
    <n v="6.1"/>
    <x v="2"/>
    <n v="4.7619047619047628"/>
    <s v="Good"/>
    <m/>
    <x v="0"/>
  </r>
  <r>
    <x v="720"/>
    <s v="Cairo"/>
    <s v="Mandalay"/>
    <s v="Normal"/>
    <s v="Female"/>
    <s v="Fashion accessories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x v="2"/>
    <n v="4.7619047619047619"/>
    <s v="Good"/>
    <m/>
    <x v="0"/>
  </r>
  <r>
    <x v="721"/>
    <s v="Giza"/>
    <s v="Naypyitaw"/>
    <s v="Member"/>
    <s v="Female"/>
    <s v="Sports and travel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  <x v="2"/>
    <n v="4.7619047619047619"/>
    <s v="Good"/>
    <m/>
    <x v="0"/>
  </r>
  <r>
    <x v="722"/>
    <s v="Cairo"/>
    <s v="Mandalay"/>
    <s v="Normal"/>
    <s v="Male"/>
    <s v="Home and lifestyle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  <x v="1"/>
    <n v="4.7619047619047619"/>
    <s v="Average"/>
    <m/>
    <x v="0"/>
  </r>
  <r>
    <x v="723"/>
    <s v="Giza"/>
    <s v="Naypyitaw"/>
    <s v="Member"/>
    <s v="Female"/>
    <s v="Food and beverages"/>
    <n v="36.770000000000003"/>
    <n v="7"/>
    <n v="12.8695"/>
    <n v="270.2595"/>
    <d v="2019-11-01T00:00:00"/>
    <d v="1899-12-30T20:10:00"/>
    <s v="Cash"/>
    <n v="257.39"/>
    <n v="4.7619047620000003"/>
    <n v="12.8695"/>
    <n v="7.4"/>
    <x v="2"/>
    <n v="4.7619047619047619"/>
    <s v="Good"/>
    <m/>
    <x v="0"/>
  </r>
  <r>
    <x v="724"/>
    <s v="Cairo"/>
    <s v="Mandalay"/>
    <s v="Member"/>
    <s v="Male"/>
    <s v="Food and beverages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  <x v="2"/>
    <n v="4.7619047619047628"/>
    <s v="Good"/>
    <m/>
    <x v="0"/>
  </r>
  <r>
    <x v="725"/>
    <s v="Giza"/>
    <s v="Naypyitaw"/>
    <s v="Member"/>
    <s v="Female"/>
    <s v="Health and beauty"/>
    <n v="28.5"/>
    <n v="8"/>
    <n v="11.4"/>
    <n v="239.4"/>
    <d v="2019-06-02T00:00:00"/>
    <d v="1899-12-30T14:24:00"/>
    <s v="Cash"/>
    <n v="228"/>
    <n v="4.7619047620000003"/>
    <n v="11.4"/>
    <n v="6.6"/>
    <x v="2"/>
    <n v="4.7619047619047619"/>
    <s v="Good"/>
    <m/>
    <x v="0"/>
  </r>
  <r>
    <x v="726"/>
    <s v="Giza"/>
    <s v="Naypyitaw"/>
    <s v="Member"/>
    <s v="Male"/>
    <s v="Home and lifestyle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  <x v="2"/>
    <n v="4.7619047619047619"/>
    <s v="Good"/>
    <m/>
    <x v="0"/>
  </r>
  <r>
    <x v="727"/>
    <s v="Cairo"/>
    <s v="Mandalay"/>
    <s v="Normal"/>
    <s v="Male"/>
    <s v="Sports and travel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  <x v="2"/>
    <n v="4.7619047619047619"/>
    <s v="Average"/>
    <m/>
    <x v="0"/>
  </r>
  <r>
    <x v="728"/>
    <s v="Giza"/>
    <s v="Naypyitaw"/>
    <s v="Normal"/>
    <s v="Male"/>
    <s v="Fashion accessories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  <x v="1"/>
    <n v="4.7619047619047619"/>
    <s v="Excellent"/>
    <m/>
    <x v="0"/>
  </r>
  <r>
    <x v="729"/>
    <s v="Cairo"/>
    <s v="Mandalay"/>
    <s v="Member"/>
    <s v="Female"/>
    <s v="Home and lifestyle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  <x v="2"/>
    <n v="4.7619047619047628"/>
    <s v="Good"/>
    <m/>
    <x v="0"/>
  </r>
  <r>
    <x v="730"/>
    <s v="Alex"/>
    <s v="Yangon"/>
    <s v="Member"/>
    <s v="Female"/>
    <s v="Fashion accessories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  <x v="2"/>
    <n v="4.7619047619047628"/>
    <s v="Excellent"/>
    <m/>
    <x v="0"/>
  </r>
  <r>
    <x v="731"/>
    <s v="Alex"/>
    <s v="Yangon"/>
    <s v="Normal"/>
    <s v="Male"/>
    <s v="Health and beauty"/>
    <n v="56"/>
    <n v="3"/>
    <n v="8.4"/>
    <n v="176.4"/>
    <s v="2/28/2019"/>
    <d v="1899-12-30T19:33:00"/>
    <s v="Ewallet"/>
    <n v="168"/>
    <n v="4.7619047620000003"/>
    <n v="8.4"/>
    <n v="4.8"/>
    <x v="2"/>
    <n v="4.7619047619047628"/>
    <s v="Average"/>
    <m/>
    <x v="0"/>
  </r>
  <r>
    <x v="732"/>
    <s v="Alex"/>
    <s v="Yangon"/>
    <s v="Member"/>
    <s v="Male"/>
    <s v="Fashion accessories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  <x v="2"/>
    <n v="4.7619047619047619"/>
    <s v="Average"/>
    <m/>
    <x v="0"/>
  </r>
  <r>
    <x v="733"/>
    <s v="Cairo"/>
    <s v="Mandalay"/>
    <s v="Normal"/>
    <s v="Male"/>
    <s v="Electronic accessories"/>
    <n v="75.88"/>
    <n v="7"/>
    <n v="26.558"/>
    <n v="557.71799999999996"/>
    <s v="1/24/2019"/>
    <d v="1899-12-30T10:38:00"/>
    <s v="Ewallet"/>
    <n v="531.16"/>
    <n v="4.7619047620000003"/>
    <n v="26.558"/>
    <n v="8.9"/>
    <x v="2"/>
    <n v="4.7619047619047628"/>
    <s v="Excellent"/>
    <m/>
    <x v="0"/>
  </r>
  <r>
    <x v="734"/>
    <s v="Cairo"/>
    <s v="Mandalay"/>
    <s v="Member"/>
    <s v="Male"/>
    <s v="Food and beverages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  <x v="1"/>
    <n v="4.7619047619047628"/>
    <s v="Excellent"/>
    <m/>
    <x v="0"/>
  </r>
  <r>
    <x v="735"/>
    <s v="Giza"/>
    <s v="Naypyitaw"/>
    <s v="Member"/>
    <s v="Male"/>
    <s v="Health and beauty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  <x v="2"/>
    <n v="4.7619047619047619"/>
    <s v="Good"/>
    <m/>
    <x v="0"/>
  </r>
  <r>
    <x v="736"/>
    <s v="Giza"/>
    <s v="Naypyitaw"/>
    <s v="Member"/>
    <s v="Female"/>
    <s v="Home and lifestyle"/>
    <n v="81.2"/>
    <n v="7"/>
    <n v="28.42"/>
    <n v="596.82000000000005"/>
    <s v="3/23/2019"/>
    <d v="1899-12-30T15:59:00"/>
    <s v="Credit card"/>
    <n v="568.4"/>
    <n v="4.7619047620000003"/>
    <n v="28.42"/>
    <n v="8.1"/>
    <x v="1"/>
    <n v="4.7619047619047619"/>
    <s v="Good"/>
    <m/>
    <x v="0"/>
  </r>
  <r>
    <x v="737"/>
    <s v="Giza"/>
    <s v="Naypyitaw"/>
    <s v="Normal"/>
    <s v="Male"/>
    <s v="Electronic accessories"/>
    <n v="58.76"/>
    <n v="10"/>
    <n v="29.38"/>
    <n v="616.98"/>
    <s v="1/29/2019"/>
    <d v="1899-12-30T14:26:00"/>
    <s v="Ewallet"/>
    <n v="587.6"/>
    <n v="4.7619047620000003"/>
    <n v="29.38"/>
    <n v="9"/>
    <x v="1"/>
    <n v="4.7619047619047619"/>
    <s v="Excellent"/>
    <m/>
    <x v="0"/>
  </r>
  <r>
    <x v="738"/>
    <s v="Cairo"/>
    <s v="Mandalay"/>
    <s v="Member"/>
    <s v="Male"/>
    <s v="Electronic accessories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  <x v="1"/>
    <n v="4.7619047619047619"/>
    <s v="Excellent"/>
    <m/>
    <x v="0"/>
  </r>
  <r>
    <x v="739"/>
    <s v="Alex"/>
    <s v="Yangon"/>
    <s v="Normal"/>
    <s v="Male"/>
    <s v="Home and lifestyle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  <x v="1"/>
    <n v="4.7619047619047619"/>
    <s v="Good"/>
    <m/>
    <x v="0"/>
  </r>
  <r>
    <x v="740"/>
    <s v="Giza"/>
    <s v="Naypyitaw"/>
    <s v="Normal"/>
    <s v="Male"/>
    <s v="Home and lifestyle"/>
    <n v="55.61"/>
    <n v="7"/>
    <n v="19.4635"/>
    <n v="408.73349999999999"/>
    <s v="3/23/2019"/>
    <d v="1899-12-30T12:41:00"/>
    <s v="Cash"/>
    <n v="389.27"/>
    <n v="4.7619047620000003"/>
    <n v="19.4635"/>
    <n v="8.5"/>
    <x v="1"/>
    <n v="4.7619047619047619"/>
    <s v="Excellent"/>
    <m/>
    <x v="0"/>
  </r>
  <r>
    <x v="741"/>
    <s v="Giza"/>
    <s v="Naypyitaw"/>
    <s v="Normal"/>
    <s v="Male"/>
    <s v="Food and beverages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  <x v="2"/>
    <n v="4.7619047619047619"/>
    <s v="Excellent"/>
    <m/>
    <x v="0"/>
  </r>
  <r>
    <x v="742"/>
    <s v="Alex"/>
    <s v="Yangon"/>
    <s v="Member"/>
    <s v="Female"/>
    <s v="Sports and travel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  <x v="2"/>
    <n v="4.7619047619047628"/>
    <s v="Excellent"/>
    <m/>
    <x v="0"/>
  </r>
  <r>
    <x v="743"/>
    <s v="Alex"/>
    <s v="Yangon"/>
    <s v="Member"/>
    <s v="Male"/>
    <s v="Home and lifestyle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  <x v="2"/>
    <n v="4.7619047619047628"/>
    <s v="Excellent"/>
    <m/>
    <x v="0"/>
  </r>
  <r>
    <x v="744"/>
    <s v="Giza"/>
    <s v="Naypyitaw"/>
    <s v="Member"/>
    <s v="Female"/>
    <s v="Sports and travel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  <x v="2"/>
    <n v="4.7619047619047628"/>
    <s v="Excellent"/>
    <m/>
    <x v="0"/>
  </r>
  <r>
    <x v="745"/>
    <s v="Giza"/>
    <s v="Naypyitaw"/>
    <s v="Member"/>
    <s v="Female"/>
    <s v="Food and beverages"/>
    <n v="38.42"/>
    <n v="1"/>
    <n v="1.921"/>
    <n v="40.341000000000001"/>
    <d v="2019-02-02T00:00:00"/>
    <d v="1899-12-30T16:33:00"/>
    <s v="Cash"/>
    <n v="38.42"/>
    <n v="4.7619047620000003"/>
    <n v="1.921"/>
    <n v="8.6"/>
    <x v="2"/>
    <n v="4.761904761904761"/>
    <s v="Average"/>
    <m/>
    <x v="0"/>
  </r>
  <r>
    <x v="746"/>
    <s v="Cairo"/>
    <s v="Mandalay"/>
    <s v="Member"/>
    <s v="Male"/>
    <s v="Fashion accessories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  <x v="2"/>
    <n v="4.7619047619047619"/>
    <s v="Excellent"/>
    <m/>
    <x v="0"/>
  </r>
  <r>
    <x v="747"/>
    <s v="Giza"/>
    <s v="Naypyitaw"/>
    <s v="Member"/>
    <s v="Female"/>
    <s v="Home and lifestyle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  <x v="1"/>
    <n v="4.7619047619047628"/>
    <s v="Average"/>
    <m/>
    <x v="0"/>
  </r>
  <r>
    <x v="748"/>
    <s v="Cairo"/>
    <s v="Mandalay"/>
    <s v="Member"/>
    <s v="Female"/>
    <s v="Home and lifestyle"/>
    <n v="12.29"/>
    <n v="9"/>
    <n v="5.5305"/>
    <n v="116.1405"/>
    <s v="3/26/2019"/>
    <d v="1899-12-30T19:28:00"/>
    <s v="Credit card"/>
    <n v="110.61"/>
    <n v="4.7619047620000003"/>
    <n v="5.5305"/>
    <n v="8"/>
    <x v="2"/>
    <n v="4.7619047619047619"/>
    <s v="Average"/>
    <m/>
    <x v="0"/>
  </r>
  <r>
    <x v="749"/>
    <s v="Giza"/>
    <s v="Naypyitaw"/>
    <s v="Member"/>
    <s v="Male"/>
    <s v="Health and beauty"/>
    <n v="81.23"/>
    <n v="7"/>
    <n v="28.430499999999999"/>
    <n v="597.04049999999995"/>
    <s v="1/15/2019"/>
    <d v="1899-12-30T20:44:00"/>
    <s v="Cash"/>
    <n v="568.61"/>
    <n v="4.7619047620000003"/>
    <n v="28.430499999999999"/>
    <n v="9"/>
    <x v="2"/>
    <n v="4.7619047619047619"/>
    <s v="Excellent"/>
    <m/>
    <x v="0"/>
  </r>
  <r>
    <x v="750"/>
    <s v="Cairo"/>
    <s v="Mandalay"/>
    <s v="Member"/>
    <s v="Female"/>
    <s v="Fashion accessories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  <x v="1"/>
    <n v="4.7619047619047628"/>
    <s v="Excellent"/>
    <m/>
    <x v="0"/>
  </r>
  <r>
    <x v="751"/>
    <s v="Alex"/>
    <s v="Yangon"/>
    <s v="Normal"/>
    <s v="Female"/>
    <s v="Food and beverages"/>
    <n v="27.28"/>
    <n v="5"/>
    <n v="6.82"/>
    <n v="143.22"/>
    <d v="2019-03-02T00:00:00"/>
    <d v="1899-12-30T10:31:00"/>
    <s v="Credit card"/>
    <n v="136.4"/>
    <n v="4.7619047620000003"/>
    <n v="6.82"/>
    <n v="8.6"/>
    <x v="2"/>
    <n v="4.7619047619047628"/>
    <s v="Average"/>
    <m/>
    <x v="0"/>
  </r>
  <r>
    <x v="752"/>
    <s v="Alex"/>
    <s v="Yangon"/>
    <s v="Member"/>
    <s v="Female"/>
    <s v="Electronic accessories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  <x v="2"/>
    <n v="4.7619047619047628"/>
    <s v="Excellent"/>
    <m/>
    <x v="0"/>
  </r>
  <r>
    <x v="753"/>
    <s v="Cairo"/>
    <s v="Mandalay"/>
    <s v="Normal"/>
    <s v="Male"/>
    <s v="Home and lifestyle"/>
    <n v="73.28"/>
    <n v="5"/>
    <n v="18.32"/>
    <n v="384.72"/>
    <s v="1/24/2019"/>
    <d v="1899-12-30T15:05:00"/>
    <s v="Ewallet"/>
    <n v="366.4"/>
    <n v="4.7619047620000003"/>
    <n v="18.32"/>
    <n v="8.4"/>
    <x v="2"/>
    <n v="4.7619047619047628"/>
    <s v="Good"/>
    <m/>
    <x v="0"/>
  </r>
  <r>
    <x v="754"/>
    <s v="Giza"/>
    <s v="Naypyitaw"/>
    <s v="Member"/>
    <s v="Female"/>
    <s v="Fashion accessories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  <x v="2"/>
    <n v="4.7619047619047619"/>
    <s v="Excellent"/>
    <m/>
    <x v="0"/>
  </r>
  <r>
    <x v="755"/>
    <s v="Alex"/>
    <s v="Yangon"/>
    <s v="Normal"/>
    <s v="Female"/>
    <s v="Fashion accessories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  <x v="2"/>
    <n v="4.761904761904761"/>
    <s v="Good"/>
    <m/>
    <x v="0"/>
  </r>
  <r>
    <x v="756"/>
    <s v="Cairo"/>
    <s v="Mandalay"/>
    <s v="Member"/>
    <s v="Female"/>
    <s v="Electronic accessories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  <x v="1"/>
    <n v="4.7619047619047619"/>
    <s v="Good"/>
    <m/>
    <x v="0"/>
  </r>
  <r>
    <x v="757"/>
    <s v="Alex"/>
    <s v="Yangon"/>
    <s v="Normal"/>
    <s v="Female"/>
    <s v="Home and lifestyle"/>
    <n v="96.52"/>
    <n v="6"/>
    <n v="28.956"/>
    <n v="608.07600000000002"/>
    <d v="2019-11-01T00:00:00"/>
    <d v="1899-12-30T11:52:00"/>
    <s v="Cash"/>
    <n v="579.12"/>
    <n v="4.7619047620000003"/>
    <n v="28.956"/>
    <n v="4.5"/>
    <x v="2"/>
    <n v="4.7619047619047619"/>
    <s v="Average"/>
    <m/>
    <x v="0"/>
  </r>
  <r>
    <x v="758"/>
    <s v="Alex"/>
    <s v="Yangon"/>
    <s v="Member"/>
    <s v="Male"/>
    <s v="Food and beverages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  <x v="1"/>
    <n v="4.7619047619047619"/>
    <s v="Average"/>
    <m/>
    <x v="0"/>
  </r>
  <r>
    <x v="759"/>
    <s v="Alex"/>
    <s v="Yangon"/>
    <s v="Normal"/>
    <s v="Female"/>
    <s v="Food and beverages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  <x v="2"/>
    <n v="4.7619047619047628"/>
    <s v="Average"/>
    <m/>
    <x v="0"/>
  </r>
  <r>
    <x v="760"/>
    <s v="Cairo"/>
    <s v="Mandalay"/>
    <s v="Member"/>
    <s v="Female"/>
    <s v="Food and beverages"/>
    <n v="77.2"/>
    <n v="10"/>
    <n v="38.6"/>
    <n v="810.6"/>
    <d v="2019-11-02T00:00:00"/>
    <d v="1899-12-30T10:38:00"/>
    <s v="Credit card"/>
    <n v="772"/>
    <n v="4.7619047620000003"/>
    <n v="38.6"/>
    <n v="5.6"/>
    <x v="2"/>
    <n v="4.7619047619047619"/>
    <s v="Excellent"/>
    <m/>
    <x v="0"/>
  </r>
  <r>
    <x v="761"/>
    <s v="Cairo"/>
    <s v="Mandalay"/>
    <s v="Normal"/>
    <s v="Male"/>
    <s v="Electronic accessories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  <x v="1"/>
    <n v="4.7619047619047619"/>
    <s v="Average"/>
    <m/>
    <x v="0"/>
  </r>
  <r>
    <x v="762"/>
    <s v="Alex"/>
    <s v="Yangon"/>
    <s v="Member"/>
    <s v="Female"/>
    <s v="Fashion accessories"/>
    <n v="63.88"/>
    <n v="8"/>
    <n v="25.552"/>
    <n v="536.59199999999998"/>
    <s v="1/20/2019"/>
    <d v="1899-12-30T17:48:00"/>
    <s v="Ewallet"/>
    <n v="511.04"/>
    <n v="4.7619047620000003"/>
    <n v="25.552"/>
    <n v="9.9"/>
    <x v="1"/>
    <n v="4.7619047619047619"/>
    <s v="Average"/>
    <m/>
    <x v="0"/>
  </r>
  <r>
    <x v="763"/>
    <s v="Alex"/>
    <s v="Yangon"/>
    <s v="Member"/>
    <s v="Female"/>
    <s v="Health and beauty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  <x v="1"/>
    <n v="4.7619047619047619"/>
    <s v="Excellent"/>
    <m/>
    <x v="0"/>
  </r>
  <r>
    <x v="764"/>
    <s v="Alex"/>
    <s v="Yangon"/>
    <s v="Member"/>
    <s v="Male"/>
    <s v="Health and beauty"/>
    <n v="55.5"/>
    <n v="4"/>
    <n v="11.1"/>
    <n v="233.1"/>
    <s v="1/20/2019"/>
    <d v="1899-12-30T15:48:00"/>
    <s v="Credit card"/>
    <n v="222"/>
    <n v="4.7619047620000003"/>
    <n v="11.1"/>
    <n v="6.6"/>
    <x v="2"/>
    <n v="4.7619047619047619"/>
    <s v="Good"/>
    <m/>
    <x v="0"/>
  </r>
  <r>
    <x v="765"/>
    <s v="Cairo"/>
    <s v="Mandalay"/>
    <s v="Normal"/>
    <s v="Female"/>
    <s v="Home and lifestyle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  <x v="2"/>
    <n v="4.7619047619047619"/>
    <s v="Good"/>
    <m/>
    <x v="0"/>
  </r>
  <r>
    <x v="766"/>
    <s v="Giza"/>
    <s v="Naypyitaw"/>
    <s v="Normal"/>
    <s v="Female"/>
    <s v="Fashion accessories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  <x v="1"/>
    <n v="4.7619047619047619"/>
    <s v="Average"/>
    <m/>
    <x v="0"/>
  </r>
  <r>
    <x v="767"/>
    <s v="Cairo"/>
    <s v="Mandalay"/>
    <s v="Normal"/>
    <s v="Male"/>
    <s v="Sports and travel"/>
    <n v="13.69"/>
    <n v="6"/>
    <n v="4.1070000000000002"/>
    <n v="86.247"/>
    <s v="2/13/2019"/>
    <d v="1899-12-30T13:59:00"/>
    <s v="Cash"/>
    <n v="82.14"/>
    <n v="4.7619047620000003"/>
    <n v="4.1070000000000002"/>
    <n v="6.3"/>
    <x v="2"/>
    <n v="4.7619047619047628"/>
    <s v="Excellent"/>
    <m/>
    <x v="0"/>
  </r>
  <r>
    <x v="768"/>
    <s v="Cairo"/>
    <s v="Mandalay"/>
    <s v="Normal"/>
    <s v="Female"/>
    <s v="Electronic accessories"/>
    <n v="95.64"/>
    <n v="4"/>
    <n v="19.128"/>
    <n v="401.68799999999999"/>
    <s v="3/16/2019"/>
    <d v="1899-12-30T18:51:00"/>
    <s v="Cash"/>
    <n v="382.56"/>
    <n v="4.7619047620000003"/>
    <n v="19.128"/>
    <n v="7.9"/>
    <x v="2"/>
    <n v="4.7619047619047628"/>
    <s v="Good"/>
    <m/>
    <x v="0"/>
  </r>
  <r>
    <x v="769"/>
    <s v="Alex"/>
    <s v="Yangon"/>
    <s v="Normal"/>
    <s v="Female"/>
    <s v="Home and lifestyle"/>
    <n v="11.43"/>
    <n v="6"/>
    <n v="3.4289999999999998"/>
    <n v="72.009"/>
    <s v="1/15/2019"/>
    <d v="1899-12-30T17:24:00"/>
    <s v="Cash"/>
    <n v="68.58"/>
    <n v="4.7619047620000003"/>
    <n v="3.4289999999999998"/>
    <n v="7.7"/>
    <x v="2"/>
    <n v="4.7619047619047628"/>
    <s v="Good"/>
    <m/>
    <x v="0"/>
  </r>
  <r>
    <x v="770"/>
    <s v="Cairo"/>
    <s v="Mandalay"/>
    <s v="Member"/>
    <s v="Female"/>
    <s v="Sports and travel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  <x v="2"/>
    <n v="4.7619047619047619"/>
    <s v="Good"/>
    <m/>
    <x v="0"/>
  </r>
  <r>
    <x v="771"/>
    <s v="Giza"/>
    <s v="Naypyitaw"/>
    <s v="Member"/>
    <s v="Female"/>
    <s v="Health and beauty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  <x v="2"/>
    <n v="4.7619047619047628"/>
    <s v="Average"/>
    <m/>
    <x v="0"/>
  </r>
  <r>
    <x v="772"/>
    <s v="Giza"/>
    <s v="Naypyitaw"/>
    <s v="Member"/>
    <s v="Female"/>
    <s v="Sports and travel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  <x v="1"/>
    <n v="4.7619047619047628"/>
    <s v="Excellent"/>
    <m/>
    <x v="0"/>
  </r>
  <r>
    <x v="773"/>
    <s v="Giza"/>
    <s v="Naypyitaw"/>
    <s v="Normal"/>
    <s v="Female"/>
    <s v="Food and beverages"/>
    <n v="52.42"/>
    <n v="1"/>
    <n v="2.621"/>
    <n v="55.040999999999997"/>
    <d v="2019-06-02T00:00:00"/>
    <d v="1899-12-30T10:22:00"/>
    <s v="Credit card"/>
    <n v="52.42"/>
    <n v="4.7619047620000003"/>
    <n v="2.621"/>
    <n v="6.3"/>
    <x v="2"/>
    <n v="4.7619047619047628"/>
    <s v="Average"/>
    <m/>
    <x v="0"/>
  </r>
  <r>
    <x v="774"/>
    <s v="Giza"/>
    <s v="Naypyitaw"/>
    <s v="Member"/>
    <s v="Male"/>
    <s v="Food and beverages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  <x v="2"/>
    <n v="4.7619047619047628"/>
    <s v="Good"/>
    <m/>
    <x v="0"/>
  </r>
  <r>
    <x v="775"/>
    <s v="Cairo"/>
    <s v="Mandalay"/>
    <s v="Normal"/>
    <s v="Female"/>
    <s v="Food and beverages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  <x v="2"/>
    <n v="4.7619047619047619"/>
    <s v="Good"/>
    <m/>
    <x v="0"/>
  </r>
  <r>
    <x v="776"/>
    <s v="Giza"/>
    <s v="Naypyitaw"/>
    <s v="Member"/>
    <s v="Male"/>
    <s v="Health and beauty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  <x v="2"/>
    <n v="4.7619047619047628"/>
    <s v="Excellent"/>
    <m/>
    <x v="0"/>
  </r>
  <r>
    <x v="777"/>
    <s v="Cairo"/>
    <s v="Mandalay"/>
    <s v="Normal"/>
    <s v="Male"/>
    <s v="Sports and travel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  <x v="2"/>
    <n v="4.7619047619047619"/>
    <s v="Average"/>
    <m/>
    <x v="0"/>
  </r>
  <r>
    <x v="778"/>
    <s v="Giza"/>
    <s v="Naypyitaw"/>
    <s v="Member"/>
    <s v="Male"/>
    <s v="Sports and travel"/>
    <n v="25.25"/>
    <n v="5"/>
    <n v="6.3125"/>
    <n v="132.5625"/>
    <s v="3/20/2019"/>
    <d v="1899-12-30T17:52:00"/>
    <s v="Cash"/>
    <n v="126.25"/>
    <n v="4.7619047620000003"/>
    <n v="6.3125"/>
    <n v="6.1"/>
    <x v="2"/>
    <n v="4.761904761904761"/>
    <s v="Excellent"/>
    <m/>
    <x v="0"/>
  </r>
  <r>
    <x v="779"/>
    <s v="Cairo"/>
    <s v="Mandalay"/>
    <s v="Member"/>
    <s v="Male"/>
    <s v="Electronic accessories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  <x v="2"/>
    <n v="4.7619047619047619"/>
    <s v="Good"/>
    <m/>
    <x v="0"/>
  </r>
  <r>
    <x v="780"/>
    <s v="Giza"/>
    <s v="Naypyitaw"/>
    <s v="Normal"/>
    <s v="Male"/>
    <s v="Health and beauty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  <x v="1"/>
    <n v="4.7619047619047619"/>
    <s v="Average"/>
    <m/>
    <x v="0"/>
  </r>
  <r>
    <x v="781"/>
    <s v="Alex"/>
    <s v="Yangon"/>
    <s v="Normal"/>
    <s v="Female"/>
    <s v="Sports and travel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  <x v="2"/>
    <n v="4.7619047619047628"/>
    <s v="Excellent"/>
    <m/>
    <x v="0"/>
  </r>
  <r>
    <x v="782"/>
    <s v="Alex"/>
    <s v="Yangon"/>
    <s v="Member"/>
    <s v="Female"/>
    <s v="Fashion accessories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  <x v="2"/>
    <n v="4.7619047619047628"/>
    <s v="Good"/>
    <m/>
    <x v="0"/>
  </r>
  <r>
    <x v="783"/>
    <s v="Giza"/>
    <s v="Naypyitaw"/>
    <s v="Normal"/>
    <s v="Female"/>
    <s v="Home and lifestyle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x v="2"/>
    <n v="4.761904761904761"/>
    <s v="Average"/>
    <m/>
    <x v="0"/>
  </r>
  <r>
    <x v="784"/>
    <s v="Giza"/>
    <s v="Naypyitaw"/>
    <s v="Member"/>
    <s v="Female"/>
    <s v="Health and beauty"/>
    <n v="10.16"/>
    <n v="5"/>
    <n v="2.54"/>
    <n v="53.34"/>
    <s v="2/24/2019"/>
    <d v="1899-12-30T13:08:00"/>
    <s v="Ewallet"/>
    <n v="50.8"/>
    <n v="4.7619047620000003"/>
    <n v="2.54"/>
    <n v="4.0999999999999996"/>
    <x v="2"/>
    <n v="4.7619047619047619"/>
    <s v="Excellent"/>
    <m/>
    <x v="0"/>
  </r>
  <r>
    <x v="785"/>
    <s v="Alex"/>
    <s v="Yangon"/>
    <s v="Normal"/>
    <s v="Male"/>
    <s v="Electronic accessories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  <x v="2"/>
    <n v="4.7619047619047619"/>
    <s v="Average"/>
    <m/>
    <x v="0"/>
  </r>
  <r>
    <x v="786"/>
    <s v="Giza"/>
    <s v="Naypyitaw"/>
    <s v="Normal"/>
    <s v="Male"/>
    <s v="Electronic accessories"/>
    <n v="71.89"/>
    <n v="8"/>
    <n v="28.756"/>
    <n v="603.87599999999998"/>
    <s v="2/19/2019"/>
    <d v="1899-12-30T11:33:00"/>
    <s v="Ewallet"/>
    <n v="575.12"/>
    <n v="4.7619047620000003"/>
    <n v="28.756"/>
    <n v="5.5"/>
    <x v="1"/>
    <n v="4.7619047619047628"/>
    <s v="Excellent"/>
    <m/>
    <x v="0"/>
  </r>
  <r>
    <x v="787"/>
    <s v="Giza"/>
    <s v="Naypyitaw"/>
    <s v="Normal"/>
    <s v="Female"/>
    <s v="Health and beauty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  <x v="1"/>
    <n v="4.7619047619047628"/>
    <s v="Average"/>
    <m/>
    <x v="0"/>
  </r>
  <r>
    <x v="788"/>
    <s v="Giza"/>
    <s v="Naypyitaw"/>
    <s v="Member"/>
    <s v="Male"/>
    <s v="Health and beauty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  <x v="2"/>
    <n v="4.7619047619047628"/>
    <s v="Excellent"/>
    <m/>
    <x v="0"/>
  </r>
  <r>
    <x v="789"/>
    <s v="Alex"/>
    <s v="Yangon"/>
    <s v="Normal"/>
    <s v="Male"/>
    <s v="Sports and travel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  <x v="2"/>
    <n v="4.761904761904761"/>
    <s v="Average"/>
    <m/>
    <x v="0"/>
  </r>
  <r>
    <x v="790"/>
    <s v="Alex"/>
    <s v="Yangon"/>
    <s v="Normal"/>
    <s v="Male"/>
    <s v="Fashion accessories"/>
    <n v="46.41"/>
    <n v="1"/>
    <n v="2.3205"/>
    <n v="48.730499999999999"/>
    <d v="2019-03-03T00:00:00"/>
    <d v="1899-12-30T20:06:00"/>
    <s v="Credit card"/>
    <n v="46.41"/>
    <n v="4.7619047620000003"/>
    <n v="2.3205"/>
    <n v="4"/>
    <x v="2"/>
    <n v="4.7619047619047628"/>
    <s v="Excellent"/>
    <m/>
    <x v="0"/>
  </r>
  <r>
    <x v="791"/>
    <s v="Giza"/>
    <s v="Naypyitaw"/>
    <s v="Member"/>
    <s v="Male"/>
    <s v="Health and beauty"/>
    <n v="68.55"/>
    <n v="4"/>
    <n v="13.71"/>
    <n v="287.91000000000003"/>
    <s v="2/15/2019"/>
    <d v="1899-12-30T20:21:00"/>
    <s v="Credit card"/>
    <n v="274.2"/>
    <n v="4.7619047620000003"/>
    <n v="13.71"/>
    <n v="9.1999999999999993"/>
    <x v="2"/>
    <n v="4.7619047619047628"/>
    <s v="Average"/>
    <m/>
    <x v="0"/>
  </r>
  <r>
    <x v="792"/>
    <s v="Cairo"/>
    <s v="Mandalay"/>
    <s v="Normal"/>
    <s v="Female"/>
    <s v="Home and lifestyle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  <x v="2"/>
    <n v="4.7619047619047619"/>
    <s v="Excellent"/>
    <m/>
    <x v="0"/>
  </r>
  <r>
    <x v="793"/>
    <s v="Alex"/>
    <s v="Yangon"/>
    <s v="Member"/>
    <s v="Male"/>
    <s v="Electronic accessories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  <x v="3"/>
    <n v="4.7619047619047628"/>
    <s v="Average"/>
    <m/>
    <x v="0"/>
  </r>
  <r>
    <x v="794"/>
    <s v="Alex"/>
    <s v="Yangon"/>
    <s v="Normal"/>
    <s v="Female"/>
    <s v="Electronic accessories"/>
    <n v="46.61"/>
    <n v="2"/>
    <n v="4.6609999999999996"/>
    <n v="97.881"/>
    <s v="2/26/2019"/>
    <d v="1899-12-30T12:28:00"/>
    <s v="Credit card"/>
    <n v="93.22"/>
    <n v="4.7619047620000003"/>
    <n v="4.6609999999999996"/>
    <n v="6.6"/>
    <x v="1"/>
    <n v="4.7619047619047619"/>
    <s v="Excellent"/>
    <m/>
    <x v="0"/>
  </r>
  <r>
    <x v="795"/>
    <s v="Cairo"/>
    <s v="Mandalay"/>
    <s v="Normal"/>
    <s v="Male"/>
    <s v="Fashion accessories"/>
    <n v="27.18"/>
    <n v="2"/>
    <n v="2.718"/>
    <n v="57.078000000000003"/>
    <s v="3/15/2019"/>
    <d v="1899-12-30T16:26:00"/>
    <s v="Ewallet"/>
    <n v="54.36"/>
    <n v="4.7619047620000003"/>
    <n v="2.718"/>
    <n v="4.3"/>
    <x v="2"/>
    <n v="4.7619047619047619"/>
    <s v="Good"/>
    <m/>
    <x v="0"/>
  </r>
  <r>
    <x v="796"/>
    <s v="Giza"/>
    <s v="Naypyitaw"/>
    <s v="Member"/>
    <s v="Female"/>
    <s v="Home and lifestyle"/>
    <n v="60.87"/>
    <n v="1"/>
    <n v="3.0434999999999999"/>
    <n v="63.913499999999999"/>
    <s v="1/24/2019"/>
    <d v="1899-12-30T13:24:00"/>
    <s v="Cash"/>
    <n v="60.87"/>
    <n v="4.7619047620000003"/>
    <n v="3.0434999999999999"/>
    <n v="5.5"/>
    <x v="2"/>
    <n v="4.7619047619047619"/>
    <s v="Average"/>
    <m/>
    <x v="0"/>
  </r>
  <r>
    <x v="797"/>
    <s v="Alex"/>
    <s v="Yangon"/>
    <s v="Member"/>
    <s v="Female"/>
    <s v="Sports and travel"/>
    <n v="24.49"/>
    <n v="10"/>
    <n v="12.244999999999999"/>
    <n v="257.14499999999998"/>
    <s v="2/22/2019"/>
    <d v="1899-12-30T15:15:00"/>
    <s v="Cash"/>
    <n v="244.9"/>
    <n v="4.7619047620000003"/>
    <n v="12.244999999999999"/>
    <n v="8.1"/>
    <x v="2"/>
    <n v="4.7619047619047619"/>
    <s v="Average"/>
    <m/>
    <x v="0"/>
  </r>
  <r>
    <x v="798"/>
    <s v="Cairo"/>
    <s v="Mandalay"/>
    <s v="Normal"/>
    <s v="Male"/>
    <s v="Health and beauty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  <x v="2"/>
    <n v="4.7619047619047619"/>
    <s v="Excellent"/>
    <m/>
    <x v="0"/>
  </r>
  <r>
    <x v="799"/>
    <s v="Giza"/>
    <s v="Naypyitaw"/>
    <s v="Member"/>
    <s v="Male"/>
    <s v="Home and lifestyle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  <x v="2"/>
    <n v="4.7619047619047628"/>
    <s v="Excellent"/>
    <m/>
    <x v="0"/>
  </r>
  <r>
    <x v="800"/>
    <s v="Cairo"/>
    <s v="Mandalay"/>
    <s v="Normal"/>
    <s v="Male"/>
    <s v="Sports and travel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  <x v="2"/>
    <n v="4.7619047619047619"/>
    <s v="Excellent"/>
    <m/>
    <x v="0"/>
  </r>
  <r>
    <x v="801"/>
    <s v="Giza"/>
    <s v="Naypyitaw"/>
    <s v="Member"/>
    <s v="Female"/>
    <s v="Electronic accessories"/>
    <n v="30.2"/>
    <n v="8"/>
    <n v="12.08"/>
    <n v="253.68"/>
    <d v="2019-03-03T00:00:00"/>
    <d v="1899-12-30T19:30:00"/>
    <s v="Ewallet"/>
    <n v="241.6"/>
    <n v="4.7619047620000003"/>
    <n v="12.08"/>
    <n v="5.0999999999999996"/>
    <x v="2"/>
    <n v="4.7619047619047619"/>
    <s v="Good"/>
    <m/>
    <x v="0"/>
  </r>
  <r>
    <x v="802"/>
    <s v="Giza"/>
    <s v="Naypyitaw"/>
    <s v="Member"/>
    <s v="Male"/>
    <s v="Fashion accessories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  <x v="2"/>
    <n v="4.7619047619047619"/>
    <s v="Average"/>
    <m/>
    <x v="0"/>
  </r>
  <r>
    <x v="803"/>
    <s v="Alex"/>
    <s v="Yangon"/>
    <s v="Member"/>
    <s v="Female"/>
    <s v="Fashion accessories"/>
    <n v="48.96"/>
    <n v="9"/>
    <n v="22.032"/>
    <n v="462.67200000000003"/>
    <d v="2019-04-03T00:00:00"/>
    <d v="1899-12-30T11:27:00"/>
    <s v="Cash"/>
    <n v="440.64"/>
    <n v="4.7619047620000003"/>
    <n v="22.032"/>
    <n v="8"/>
    <x v="2"/>
    <n v="4.7619047619047619"/>
    <s v="Good"/>
    <m/>
    <x v="0"/>
  </r>
  <r>
    <x v="804"/>
    <s v="Cairo"/>
    <s v="Mandalay"/>
    <s v="Member"/>
    <s v="Female"/>
    <s v="Electronic accessories"/>
    <n v="75.59"/>
    <n v="9"/>
    <n v="34.015500000000003"/>
    <n v="714.32550000000003"/>
    <s v="2/23/2019"/>
    <d v="1899-12-30T11:12:00"/>
    <s v="Cash"/>
    <n v="680.31"/>
    <n v="4.7619047620000003"/>
    <n v="34.015500000000003"/>
    <n v="8"/>
    <x v="2"/>
    <n v="4.7619047619047619"/>
    <s v="Excellent"/>
    <m/>
    <x v="0"/>
  </r>
  <r>
    <x v="805"/>
    <s v="Alex"/>
    <s v="Yangon"/>
    <s v="Normal"/>
    <s v="Female"/>
    <s v="Home and lifestyle"/>
    <n v="77.47"/>
    <n v="4"/>
    <n v="15.494"/>
    <n v="325.37400000000002"/>
    <s v="3/17/2019"/>
    <d v="1899-12-30T16:36:00"/>
    <s v="Cash"/>
    <n v="309.88"/>
    <n v="4.7619047620000003"/>
    <n v="15.494"/>
    <n v="4.2"/>
    <x v="1"/>
    <n v="4.7619047619047628"/>
    <s v="Excellent"/>
    <m/>
    <x v="0"/>
  </r>
  <r>
    <x v="806"/>
    <s v="Alex"/>
    <s v="Yangon"/>
    <s v="Normal"/>
    <s v="Female"/>
    <s v="Sports and travel"/>
    <n v="93.18"/>
    <n v="2"/>
    <n v="9.3179999999999996"/>
    <n v="195.678"/>
    <s v="1/16/2019"/>
    <d v="1899-12-30T18:41:00"/>
    <s v="Credit card"/>
    <n v="186.36"/>
    <n v="4.7619047620000003"/>
    <n v="9.3179999999999996"/>
    <n v="8.5"/>
    <x v="2"/>
    <n v="4.7619047619047619"/>
    <s v="Average"/>
    <m/>
    <x v="0"/>
  </r>
  <r>
    <x v="807"/>
    <s v="Alex"/>
    <s v="Yangon"/>
    <s v="Normal"/>
    <s v="Female"/>
    <s v="Electronic accessories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  <x v="2"/>
    <n v="4.7619047619047619"/>
    <s v="Excellent"/>
    <m/>
    <x v="0"/>
  </r>
  <r>
    <x v="808"/>
    <s v="Cairo"/>
    <s v="Mandalay"/>
    <s v="Normal"/>
    <s v="Female"/>
    <s v="Health and beauty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  <x v="2"/>
    <n v="4.7619047619047619"/>
    <s v="Excellent"/>
    <m/>
    <x v="0"/>
  </r>
  <r>
    <x v="809"/>
    <s v="Giza"/>
    <s v="Naypyitaw"/>
    <s v="Normal"/>
    <s v="Female"/>
    <s v="Fashion accessories"/>
    <n v="62.18"/>
    <n v="10"/>
    <n v="31.09"/>
    <n v="652.89"/>
    <s v="1/31/2019"/>
    <d v="1899-12-30T10:33:00"/>
    <s v="Ewallet"/>
    <n v="621.79999999999995"/>
    <n v="4.7619047620000003"/>
    <n v="31.09"/>
    <n v="6"/>
    <x v="2"/>
    <n v="4.7619047619047619"/>
    <s v="Excellent"/>
    <m/>
    <x v="0"/>
  </r>
  <r>
    <x v="810"/>
    <s v="Cairo"/>
    <s v="Mandalay"/>
    <s v="Normal"/>
    <s v="Male"/>
    <s v="Health and beauty"/>
    <n v="10.75"/>
    <n v="8"/>
    <n v="4.3"/>
    <n v="90.3"/>
    <s v="3/15/2019"/>
    <d v="1899-12-30T14:38:00"/>
    <s v="Ewallet"/>
    <n v="86"/>
    <n v="4.7619047620000003"/>
    <n v="4.3"/>
    <n v="6.2"/>
    <x v="1"/>
    <n v="4.7619047619047619"/>
    <s v="Good"/>
    <m/>
    <x v="0"/>
  </r>
  <r>
    <x v="811"/>
    <s v="Alex"/>
    <s v="Yangon"/>
    <s v="Normal"/>
    <s v="Female"/>
    <s v="Electronic accessories"/>
    <n v="40.26"/>
    <n v="10"/>
    <n v="20.13"/>
    <n v="422.73"/>
    <s v="2/24/2019"/>
    <d v="1899-12-30T18:06:00"/>
    <s v="Credit card"/>
    <n v="402.6"/>
    <n v="4.7619047620000003"/>
    <n v="20.13"/>
    <n v="5"/>
    <x v="2"/>
    <n v="4.7619047619047619"/>
    <s v="Good"/>
    <m/>
    <x v="0"/>
  </r>
  <r>
    <x v="812"/>
    <s v="Giza"/>
    <s v="Naypyitaw"/>
    <s v="Member"/>
    <s v="Female"/>
    <s v="Sports and travel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  <x v="2"/>
    <n v="4.7619047619047619"/>
    <s v="Average"/>
    <m/>
    <x v="0"/>
  </r>
  <r>
    <x v="813"/>
    <s v="Alex"/>
    <s v="Yangon"/>
    <s v="Normal"/>
    <s v="Male"/>
    <s v="Electronic accessories"/>
    <n v="95.15"/>
    <n v="1"/>
    <n v="4.7575000000000003"/>
    <n v="99.907499999999999"/>
    <s v="3/22/2019"/>
    <d v="1899-12-30T14:00:00"/>
    <s v="Cash"/>
    <n v="95.15"/>
    <n v="4.7619047620000003"/>
    <n v="4.7575000000000003"/>
    <n v="6"/>
    <x v="2"/>
    <n v="4.7619047619047628"/>
    <s v="Good"/>
    <m/>
    <x v="0"/>
  </r>
  <r>
    <x v="814"/>
    <s v="Alex"/>
    <s v="Yangon"/>
    <s v="Member"/>
    <s v="Female"/>
    <s v="Electronic accessories"/>
    <n v="48.62"/>
    <n v="8"/>
    <n v="19.448"/>
    <n v="408.40800000000002"/>
    <s v="1/24/2019"/>
    <d v="1899-12-30T10:57:00"/>
    <s v="Cash"/>
    <n v="388.96"/>
    <n v="4.7619047620000003"/>
    <n v="19.448"/>
    <n v="5"/>
    <x v="2"/>
    <n v="4.7619047619047628"/>
    <s v="Good"/>
    <m/>
    <x v="0"/>
  </r>
  <r>
    <x v="815"/>
    <s v="Cairo"/>
    <s v="Mandalay"/>
    <s v="Normal"/>
    <s v="Female"/>
    <s v="Food and beverages"/>
    <n v="53.21"/>
    <n v="8"/>
    <n v="21.283999999999999"/>
    <n v="446.964"/>
    <s v="3/14/2019"/>
    <d v="1899-12-30T16:45:00"/>
    <s v="Ewallet"/>
    <n v="425.68"/>
    <n v="4.7619047620000003"/>
    <n v="21.283999999999999"/>
    <n v="5"/>
    <x v="2"/>
    <n v="4.7619047619047619"/>
    <s v="Average"/>
    <m/>
    <x v="0"/>
  </r>
  <r>
    <x v="816"/>
    <s v="Giza"/>
    <s v="Naypyitaw"/>
    <s v="Normal"/>
    <s v="Female"/>
    <s v="Fashion accessories"/>
    <n v="45.44"/>
    <n v="7"/>
    <n v="15.904"/>
    <n v="333.98399999999998"/>
    <s v="1/23/2019"/>
    <d v="1899-12-30T11:15:00"/>
    <s v="Cash"/>
    <n v="318.08"/>
    <n v="4.7619047620000003"/>
    <n v="15.904"/>
    <n v="9.1999999999999993"/>
    <x v="2"/>
    <n v="4.7619047619047619"/>
    <s v="Average"/>
    <m/>
    <x v="0"/>
  </r>
  <r>
    <x v="817"/>
    <s v="Alex"/>
    <s v="Yangon"/>
    <s v="Normal"/>
    <s v="Male"/>
    <s v="Food and beverages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  <x v="2"/>
    <n v="4.7619047619047628"/>
    <s v="Excellent"/>
    <m/>
    <x v="0"/>
  </r>
  <r>
    <x v="818"/>
    <s v="Cairo"/>
    <s v="Mandalay"/>
    <s v="Member"/>
    <s v="Male"/>
    <s v="Health and beauty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  <x v="2"/>
    <n v="4.7619047619047628"/>
    <s v="Excellent"/>
    <m/>
    <x v="0"/>
  </r>
  <r>
    <x v="819"/>
    <s v="Cairo"/>
    <s v="Mandalay"/>
    <s v="Member"/>
    <s v="Male"/>
    <s v="Food and beverages"/>
    <n v="47.16"/>
    <n v="5"/>
    <n v="11.79"/>
    <n v="247.59"/>
    <d v="2019-03-02T00:00:00"/>
    <d v="1899-12-30T14:35:00"/>
    <s v="Credit card"/>
    <n v="235.8"/>
    <n v="4.7619047620000003"/>
    <n v="11.79"/>
    <n v="6"/>
    <x v="2"/>
    <n v="4.7619047619047619"/>
    <s v="Excellent"/>
    <m/>
    <x v="0"/>
  </r>
  <r>
    <x v="820"/>
    <s v="Cairo"/>
    <s v="Mandalay"/>
    <s v="Normal"/>
    <s v="Male"/>
    <s v="Electronic accessories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  <x v="2"/>
    <n v="4.7619047619047619"/>
    <s v="Good"/>
    <m/>
    <x v="0"/>
  </r>
  <r>
    <x v="821"/>
    <s v="Alex"/>
    <s v="Yangon"/>
    <s v="Member"/>
    <s v="Female"/>
    <s v="Home and lifestyle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  <x v="2"/>
    <n v="4.7619047619047619"/>
    <s v="Good"/>
    <m/>
    <x v="0"/>
  </r>
  <r>
    <x v="822"/>
    <s v="Giza"/>
    <s v="Naypyitaw"/>
    <s v="Member"/>
    <s v="Male"/>
    <s v="Sports and travel"/>
    <n v="10.17"/>
    <n v="1"/>
    <n v="0.50849999999999995"/>
    <n v="10.6785"/>
    <d v="2019-07-02T00:00:00"/>
    <d v="1899-12-30T14:15:00"/>
    <s v="Cash"/>
    <n v="10.17"/>
    <n v="4.7619047620000003"/>
    <n v="0.50849999999999995"/>
    <n v="5.9"/>
    <x v="2"/>
    <n v="4.7619047619047619"/>
    <s v="Average"/>
    <m/>
    <x v="0"/>
  </r>
  <r>
    <x v="823"/>
    <s v="Alex"/>
    <s v="Yangon"/>
    <s v="Normal"/>
    <s v="Female"/>
    <s v="Health and beauty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  <x v="2"/>
    <n v="4.7619047619047619"/>
    <s v="Average"/>
    <m/>
    <x v="0"/>
  </r>
  <r>
    <x v="824"/>
    <s v="Cairo"/>
    <s v="Mandalay"/>
    <s v="Member"/>
    <s v="Female"/>
    <s v="Sports and travel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  <x v="2"/>
    <n v="4.7619047619047619"/>
    <s v="Excellent"/>
    <m/>
    <x v="0"/>
  </r>
  <r>
    <x v="825"/>
    <s v="Alex"/>
    <s v="Yangon"/>
    <s v="Member"/>
    <s v="Female"/>
    <s v="Sports and travel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  <x v="2"/>
    <n v="4.7619047619047619"/>
    <s v="Average"/>
    <m/>
    <x v="0"/>
  </r>
  <r>
    <x v="826"/>
    <s v="Cairo"/>
    <s v="Mandalay"/>
    <s v="Member"/>
    <s v="Female"/>
    <s v="Health and beauty"/>
    <n v="72.11"/>
    <n v="9"/>
    <n v="32.4495"/>
    <n v="681.43949999999995"/>
    <s v="1/28/2019"/>
    <d v="1899-12-30T13:53:00"/>
    <s v="Credit card"/>
    <n v="648.99"/>
    <n v="4.7619047620000003"/>
    <n v="32.4495"/>
    <n v="7.7"/>
    <x v="2"/>
    <n v="4.7619047619047628"/>
    <s v="Good"/>
    <m/>
    <x v="0"/>
  </r>
  <r>
    <x v="827"/>
    <s v="Alex"/>
    <s v="Yangon"/>
    <s v="Member"/>
    <s v="Male"/>
    <s v="Fashion accessories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  <x v="1"/>
    <n v="4.7619047619047628"/>
    <s v="Good"/>
    <m/>
    <x v="0"/>
  </r>
  <r>
    <x v="828"/>
    <s v="Giza"/>
    <s v="Naypyitaw"/>
    <s v="Normal"/>
    <s v="Male"/>
    <s v="Electronic accessories"/>
    <n v="64.95"/>
    <n v="10"/>
    <n v="32.475000000000001"/>
    <n v="681.97500000000002"/>
    <s v="3/24/2019"/>
    <d v="1899-12-30T18:27:00"/>
    <s v="Cash"/>
    <n v="649.5"/>
    <n v="4.7619047620000003"/>
    <n v="32.475000000000001"/>
    <n v="5.2"/>
    <x v="2"/>
    <n v="4.7619047619047619"/>
    <s v="Excellent"/>
    <m/>
    <x v="0"/>
  </r>
  <r>
    <x v="829"/>
    <s v="Alex"/>
    <s v="Yangon"/>
    <s v="Member"/>
    <s v="Female"/>
    <s v="Electronic accessories"/>
    <n v="74.22"/>
    <n v="10"/>
    <n v="37.11"/>
    <n v="779.31"/>
    <d v="2019-01-01T00:00:00"/>
    <d v="1899-12-30T14:42:00"/>
    <s v="Credit card"/>
    <n v="742.2"/>
    <n v="4.7619047620000003"/>
    <n v="37.11"/>
    <n v="4.3"/>
    <x v="1"/>
    <n v="4.7619047619047619"/>
    <s v="Average"/>
    <m/>
    <x v="0"/>
  </r>
  <r>
    <x v="830"/>
    <s v="Alex"/>
    <s v="Yangon"/>
    <s v="Normal"/>
    <s v="Male"/>
    <s v="Electronic accessories"/>
    <n v="10.56"/>
    <n v="8"/>
    <n v="4.2240000000000002"/>
    <n v="88.703999999999994"/>
    <s v="1/24/2019"/>
    <d v="1899-12-30T17:43:00"/>
    <s v="Cash"/>
    <n v="84.48"/>
    <n v="4.7619047620000003"/>
    <n v="4.2240000000000002"/>
    <n v="7.6"/>
    <x v="1"/>
    <n v="4.7619047619047628"/>
    <s v="Average"/>
    <m/>
    <x v="0"/>
  </r>
  <r>
    <x v="831"/>
    <s v="Cairo"/>
    <s v="Mandalay"/>
    <s v="Normal"/>
    <s v="Male"/>
    <s v="Health and beauty"/>
    <n v="62.57"/>
    <n v="4"/>
    <n v="12.513999999999999"/>
    <n v="262.79399999999998"/>
    <s v="2/25/2019"/>
    <d v="1899-12-30T18:37:00"/>
    <s v="Cash"/>
    <n v="250.28"/>
    <n v="4.7619047620000003"/>
    <n v="12.513999999999999"/>
    <n v="9.5"/>
    <x v="2"/>
    <n v="4.7619047619047628"/>
    <s v="Good"/>
    <m/>
    <x v="0"/>
  </r>
  <r>
    <x v="832"/>
    <s v="Cairo"/>
    <s v="Mandalay"/>
    <s v="Member"/>
    <s v="Female"/>
    <s v="Sports and travel"/>
    <n v="11.85"/>
    <n v="8"/>
    <n v="4.74"/>
    <n v="99.54"/>
    <d v="2019-09-01T00:00:00"/>
    <d v="1899-12-30T16:34:00"/>
    <s v="Cash"/>
    <n v="94.8"/>
    <n v="4.7619047620000003"/>
    <n v="4.74"/>
    <n v="4.0999999999999996"/>
    <x v="2"/>
    <n v="4.7619047619047619"/>
    <s v="Excellent"/>
    <m/>
    <x v="0"/>
  </r>
  <r>
    <x v="833"/>
    <s v="Alex"/>
    <s v="Yangon"/>
    <s v="Member"/>
    <s v="Male"/>
    <s v="Health and beauty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  <x v="2"/>
    <n v="4.7619047619047619"/>
    <s v="Average"/>
    <m/>
    <x v="0"/>
  </r>
  <r>
    <x v="834"/>
    <s v="Cairo"/>
    <s v="Mandalay"/>
    <s v="Member"/>
    <s v="Female"/>
    <s v="Home and lifestyle"/>
    <n v="40.729999999999997"/>
    <n v="7"/>
    <n v="14.2555"/>
    <n v="299.3655"/>
    <d v="2019-12-03T00:00:00"/>
    <d v="1899-12-30T11:01:00"/>
    <s v="Ewallet"/>
    <n v="285.11"/>
    <n v="4.7619047620000003"/>
    <n v="14.2555"/>
    <n v="5.4"/>
    <x v="2"/>
    <n v="4.7619047619047628"/>
    <s v="Excellent"/>
    <m/>
    <x v="0"/>
  </r>
  <r>
    <x v="835"/>
    <s v="Alex"/>
    <s v="Yangon"/>
    <s v="Normal"/>
    <s v="Male"/>
    <s v="Fashion accessories"/>
    <n v="52.38"/>
    <n v="1"/>
    <n v="2.6190000000000002"/>
    <n v="54.999000000000002"/>
    <s v="3/26/2019"/>
    <d v="1899-12-30T19:44:00"/>
    <s v="Cash"/>
    <n v="52.38"/>
    <n v="4.7619047620000003"/>
    <n v="2.6190000000000002"/>
    <n v="5.8"/>
    <x v="2"/>
    <n v="4.7619047619047619"/>
    <s v="Average"/>
    <m/>
    <x v="0"/>
  </r>
  <r>
    <x v="836"/>
    <s v="Alex"/>
    <s v="Yangon"/>
    <s v="Member"/>
    <s v="Male"/>
    <s v="Fashion accessories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  <x v="2"/>
    <n v="4.7619047619047628"/>
    <s v="Average"/>
    <m/>
    <x v="0"/>
  </r>
  <r>
    <x v="837"/>
    <s v="Cairo"/>
    <s v="Mandalay"/>
    <s v="Normal"/>
    <s v="Male"/>
    <s v="Sports and travel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  <x v="2"/>
    <n v="4.7619047619047619"/>
    <s v="Average"/>
    <m/>
    <x v="0"/>
  </r>
  <r>
    <x v="838"/>
    <s v="Giza"/>
    <s v="Naypyitaw"/>
    <s v="Normal"/>
    <s v="Male"/>
    <s v="Electronic accessories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  <x v="2"/>
    <n v="4.7619047619047619"/>
    <s v="Average"/>
    <m/>
    <x v="0"/>
  </r>
  <r>
    <x v="839"/>
    <s v="Giza"/>
    <s v="Naypyitaw"/>
    <s v="Member"/>
    <s v="Female"/>
    <s v="Sports and travel"/>
    <n v="29.22"/>
    <n v="6"/>
    <n v="8.766"/>
    <n v="184.08600000000001"/>
    <d v="2019-01-01T00:00:00"/>
    <d v="1899-12-30T11:40:00"/>
    <s v="Ewallet"/>
    <n v="175.32"/>
    <n v="4.7619047620000003"/>
    <n v="8.766"/>
    <n v="5"/>
    <x v="1"/>
    <n v="4.7619047619047619"/>
    <s v="Average"/>
    <m/>
    <x v="0"/>
  </r>
  <r>
    <x v="840"/>
    <s v="Alex"/>
    <s v="Yangon"/>
    <s v="Normal"/>
    <s v="Male"/>
    <s v="Fashion accessories"/>
    <n v="51.94"/>
    <n v="3"/>
    <n v="7.7910000000000004"/>
    <n v="163.61099999999999"/>
    <s v="2/15/2019"/>
    <d v="1899-12-30T15:21:00"/>
    <s v="Cash"/>
    <n v="155.82"/>
    <n v="4.7619047620000003"/>
    <n v="7.7910000000000004"/>
    <n v="7.9"/>
    <x v="2"/>
    <n v="4.7619047619047619"/>
    <s v="Average"/>
    <m/>
    <x v="0"/>
  </r>
  <r>
    <x v="841"/>
    <s v="Cairo"/>
    <s v="Mandalay"/>
    <s v="Normal"/>
    <s v="Male"/>
    <s v="Electronic accessories"/>
    <n v="60.3"/>
    <n v="1"/>
    <n v="3.0150000000000001"/>
    <n v="63.314999999999998"/>
    <s v="2/28/2019"/>
    <d v="1899-12-30T17:38:00"/>
    <s v="Cash"/>
    <n v="60.3"/>
    <n v="4.7619047620000003"/>
    <n v="3.0150000000000001"/>
    <n v="6"/>
    <x v="2"/>
    <n v="4.7619047619047628"/>
    <s v="Good"/>
    <m/>
    <x v="0"/>
  </r>
  <r>
    <x v="842"/>
    <s v="Alex"/>
    <s v="Yangon"/>
    <s v="Member"/>
    <s v="Female"/>
    <s v="Sports and travel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  <x v="2"/>
    <n v="4.7619047619047628"/>
    <s v="Good"/>
    <m/>
    <x v="0"/>
  </r>
  <r>
    <x v="843"/>
    <s v="Giza"/>
    <s v="Naypyitaw"/>
    <s v="Member"/>
    <s v="Female"/>
    <s v="Food and beverages"/>
    <n v="14.87"/>
    <n v="2"/>
    <n v="1.4870000000000001"/>
    <n v="31.227"/>
    <s v="2/13/2019"/>
    <d v="1899-12-30T18:15:00"/>
    <s v="Credit card"/>
    <n v="29.74"/>
    <n v="4.7619047620000003"/>
    <n v="1.4870000000000001"/>
    <n v="8.9"/>
    <x v="2"/>
    <n v="4.7619047619047619"/>
    <s v="Average"/>
    <m/>
    <x v="0"/>
  </r>
  <r>
    <x v="844"/>
    <s v="Alex"/>
    <s v="Yangon"/>
    <s v="Normal"/>
    <s v="Male"/>
    <s v="Fashion accessories"/>
    <n v="21.32"/>
    <n v="1"/>
    <n v="1.0660000000000001"/>
    <n v="22.385999999999999"/>
    <s v="1/26/2019"/>
    <d v="1899-12-30T12:43:00"/>
    <s v="Cash"/>
    <n v="21.32"/>
    <n v="4.7619047620000003"/>
    <n v="1.0660000000000001"/>
    <n v="5.9"/>
    <x v="2"/>
    <n v="4.7619047619047628"/>
    <s v="Excellent"/>
    <m/>
    <x v="0"/>
  </r>
  <r>
    <x v="845"/>
    <s v="Alex"/>
    <s v="Yangon"/>
    <s v="Member"/>
    <s v="Male"/>
    <s v="Electronic accessories"/>
    <n v="93.78"/>
    <n v="3"/>
    <n v="14.067"/>
    <n v="295.40699999999998"/>
    <s v="1/30/2019"/>
    <d v="1899-12-30T11:32:00"/>
    <s v="Credit card"/>
    <n v="281.33999999999997"/>
    <n v="4.7619047620000003"/>
    <n v="14.067"/>
    <n v="5.9"/>
    <x v="2"/>
    <n v="4.7619047619047628"/>
    <s v="Average"/>
    <m/>
    <x v="0"/>
  </r>
  <r>
    <x v="846"/>
    <s v="Alex"/>
    <s v="Yangon"/>
    <s v="Member"/>
    <s v="Male"/>
    <s v="Electronic accessories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  <x v="2"/>
    <n v="4.7619047619047628"/>
    <s v="Average"/>
    <m/>
    <x v="0"/>
  </r>
  <r>
    <x v="847"/>
    <s v="Giza"/>
    <s v="Naypyitaw"/>
    <s v="Normal"/>
    <s v="Female"/>
    <s v="Sports and travel"/>
    <n v="22.38"/>
    <n v="1"/>
    <n v="1.119"/>
    <n v="23.498999999999999"/>
    <s v="1/30/2019"/>
    <d v="1899-12-30T17:08:00"/>
    <s v="Credit card"/>
    <n v="22.38"/>
    <n v="4.7619047620000003"/>
    <n v="1.119"/>
    <n v="8.6"/>
    <x v="2"/>
    <n v="4.7619047619047619"/>
    <s v="Excellent"/>
    <m/>
    <x v="0"/>
  </r>
  <r>
    <x v="848"/>
    <s v="Giza"/>
    <s v="Naypyitaw"/>
    <s v="Member"/>
    <s v="Female"/>
    <s v="Food and beverages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  <x v="2"/>
    <n v="4.7619047619047628"/>
    <s v="Excellent"/>
    <m/>
    <x v="0"/>
  </r>
  <r>
    <x v="849"/>
    <s v="Alex"/>
    <s v="Yangon"/>
    <s v="Normal"/>
    <s v="Female"/>
    <s v="Fashion accessories"/>
    <n v="99.1"/>
    <n v="6"/>
    <n v="29.73"/>
    <n v="624.33000000000004"/>
    <s v="1/19/2019"/>
    <d v="1899-12-30T13:11:00"/>
    <s v="Cash"/>
    <n v="594.6"/>
    <n v="4.7619047620000003"/>
    <n v="29.73"/>
    <n v="4.2"/>
    <x v="1"/>
    <n v="4.7619047619047619"/>
    <s v="Average"/>
    <m/>
    <x v="0"/>
  </r>
  <r>
    <x v="850"/>
    <s v="Alex"/>
    <s v="Yangon"/>
    <s v="Normal"/>
    <s v="Male"/>
    <s v="Fashion accessories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  <x v="1"/>
    <n v="4.7619047619047619"/>
    <s v="Average"/>
    <m/>
    <x v="0"/>
  </r>
  <r>
    <x v="851"/>
    <s v="Alex"/>
    <s v="Yangon"/>
    <s v="Normal"/>
    <s v="Female"/>
    <s v="Fashion accessories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  <x v="2"/>
    <n v="4.7619047619047619"/>
    <s v="Excellent"/>
    <m/>
    <x v="0"/>
  </r>
  <r>
    <x v="852"/>
    <s v="Giza"/>
    <s v="Naypyitaw"/>
    <s v="Normal"/>
    <s v="Male"/>
    <s v="Health and beauty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  <x v="2"/>
    <n v="4.7619047619047628"/>
    <s v="Excellent"/>
    <m/>
    <x v="0"/>
  </r>
  <r>
    <x v="853"/>
    <s v="Cairo"/>
    <s v="Mandalay"/>
    <s v="Normal"/>
    <s v="Female"/>
    <s v="Electronic accessories"/>
    <n v="52.79"/>
    <n v="10"/>
    <n v="26.395"/>
    <n v="554.29499999999996"/>
    <s v="2/25/2019"/>
    <d v="1899-12-30T11:58:00"/>
    <s v="Ewallet"/>
    <n v="527.9"/>
    <n v="4.7619047620000003"/>
    <n v="26.395"/>
    <n v="10"/>
    <x v="2"/>
    <n v="4.7619047619047619"/>
    <s v="Average"/>
    <m/>
    <x v="0"/>
  </r>
  <r>
    <x v="854"/>
    <s v="Alex"/>
    <s v="Yangon"/>
    <s v="Member"/>
    <s v="Female"/>
    <s v="Health and beauty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  <x v="1"/>
    <n v="4.7619047619047628"/>
    <s v="Excellent"/>
    <m/>
    <x v="0"/>
  </r>
  <r>
    <x v="855"/>
    <s v="Cairo"/>
    <s v="Mandalay"/>
    <s v="Normal"/>
    <s v="Female"/>
    <s v="Fashion accessories"/>
    <n v="36.51"/>
    <n v="9"/>
    <n v="16.429500000000001"/>
    <n v="345.01949999999999"/>
    <s v="2/16/2019"/>
    <d v="1899-12-30T10:52:00"/>
    <s v="Cash"/>
    <n v="328.59"/>
    <n v="4.7619047620000003"/>
    <n v="16.429500000000001"/>
    <n v="4.2"/>
    <x v="1"/>
    <n v="4.7619047619047619"/>
    <s v="Excellent"/>
    <m/>
    <x v="0"/>
  </r>
  <r>
    <x v="856"/>
    <s v="Cairo"/>
    <s v="Mandalay"/>
    <s v="Normal"/>
    <s v="Male"/>
    <s v="Food and beverages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x v="2"/>
    <n v="4.7619047619047628"/>
    <s v="Average"/>
    <m/>
    <x v="0"/>
  </r>
  <r>
    <x v="857"/>
    <s v="Alex"/>
    <s v="Yangon"/>
    <s v="Member"/>
    <s v="Female"/>
    <s v="Home and lifestyle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  <x v="2"/>
    <n v="4.7619047619047628"/>
    <s v="Good"/>
    <m/>
    <x v="0"/>
  </r>
  <r>
    <x v="858"/>
    <s v="Cairo"/>
    <s v="Mandalay"/>
    <s v="Normal"/>
    <s v="Male"/>
    <s v="Health and beauty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  <x v="2"/>
    <n v="4.7619047619047619"/>
    <s v="Excellent"/>
    <m/>
    <x v="0"/>
  </r>
  <r>
    <x v="859"/>
    <s v="Alex"/>
    <s v="Yangon"/>
    <s v="Member"/>
    <s v="Female"/>
    <s v="Food and beverages"/>
    <n v="47.63"/>
    <n v="9"/>
    <n v="21.433499999999999"/>
    <n v="450.1035"/>
    <s v="1/23/2019"/>
    <d v="1899-12-30T12:35:00"/>
    <s v="Cash"/>
    <n v="428.67"/>
    <n v="4.7619047620000003"/>
    <n v="21.433499999999999"/>
    <n v="5"/>
    <x v="2"/>
    <n v="4.7619047619047628"/>
    <s v="Average"/>
    <m/>
    <x v="0"/>
  </r>
  <r>
    <x v="860"/>
    <s v="Giza"/>
    <s v="Naypyitaw"/>
    <s v="Member"/>
    <s v="Female"/>
    <s v="Home and lifestyle"/>
    <n v="86.27"/>
    <n v="1"/>
    <n v="4.3135000000000003"/>
    <n v="90.583500000000001"/>
    <s v="2/20/2019"/>
    <d v="1899-12-30T13:24:00"/>
    <s v="Ewallet"/>
    <n v="86.27"/>
    <n v="4.7619047620000003"/>
    <n v="4.3135000000000003"/>
    <n v="7"/>
    <x v="2"/>
    <n v="4.7619047619047619"/>
    <s v="Average"/>
    <m/>
    <x v="0"/>
  </r>
  <r>
    <x v="861"/>
    <s v="Alex"/>
    <s v="Yangon"/>
    <s v="Member"/>
    <s v="Male"/>
    <s v="Sports and travel"/>
    <n v="12.76"/>
    <n v="2"/>
    <n v="1.276"/>
    <n v="26.795999999999999"/>
    <d v="2019-08-01T00:00:00"/>
    <d v="1899-12-30T18:06:00"/>
    <s v="Ewallet"/>
    <n v="25.52"/>
    <n v="4.7619047620000003"/>
    <n v="1.276"/>
    <n v="7.8"/>
    <x v="2"/>
    <n v="4.7619047619047628"/>
    <s v="Good"/>
    <m/>
    <x v="0"/>
  </r>
  <r>
    <x v="862"/>
    <s v="Cairo"/>
    <s v="Mandalay"/>
    <s v="Normal"/>
    <s v="Female"/>
    <s v="Home and lifestyle"/>
    <n v="11.28"/>
    <n v="9"/>
    <n v="5.0759999999999996"/>
    <n v="106.596"/>
    <s v="3/17/2019"/>
    <d v="1899-12-30T11:55:00"/>
    <s v="Credit card"/>
    <n v="101.52"/>
    <n v="4.7619047620000003"/>
    <n v="5.0759999999999996"/>
    <n v="4.3"/>
    <x v="2"/>
    <n v="4.7619047619047628"/>
    <s v="Good"/>
    <m/>
    <x v="0"/>
  </r>
  <r>
    <x v="863"/>
    <s v="Cairo"/>
    <s v="Mandalay"/>
    <s v="Normal"/>
    <s v="Female"/>
    <s v="Home and lifestyle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  <x v="2"/>
    <n v="4.7619047619047619"/>
    <s v="Average"/>
    <m/>
    <x v="0"/>
  </r>
  <r>
    <x v="864"/>
    <s v="Alex"/>
    <s v="Yangon"/>
    <s v="Member"/>
    <s v="Female"/>
    <s v="Electronic accessories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  <x v="2"/>
    <n v="4.7619047619047619"/>
    <s v="Good"/>
    <m/>
    <x v="0"/>
  </r>
  <r>
    <x v="865"/>
    <s v="Giza"/>
    <s v="Naypyitaw"/>
    <s v="Member"/>
    <s v="Male"/>
    <s v="Health and beauty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  <x v="2"/>
    <n v="4.7619047619047619"/>
    <s v="Good"/>
    <m/>
    <x v="0"/>
  </r>
  <r>
    <x v="866"/>
    <s v="Cairo"/>
    <s v="Mandalay"/>
    <s v="Member"/>
    <s v="Male"/>
    <s v="Sports and travel"/>
    <n v="90.53"/>
    <n v="8"/>
    <n v="36.212000000000003"/>
    <n v="760.452"/>
    <s v="3/15/2019"/>
    <d v="1899-12-30T14:48:00"/>
    <s v="Credit card"/>
    <n v="724.24"/>
    <n v="4.7619047620000003"/>
    <n v="36.212000000000003"/>
    <n v="6.5"/>
    <x v="2"/>
    <n v="4.7619047619047628"/>
    <s v="Good"/>
    <m/>
    <x v="0"/>
  </r>
  <r>
    <x v="867"/>
    <s v="Giza"/>
    <s v="Naypyitaw"/>
    <s v="Member"/>
    <s v="Female"/>
    <s v="Health and beauty"/>
    <n v="62.82"/>
    <n v="2"/>
    <n v="6.282"/>
    <n v="131.922"/>
    <s v="1/17/2019"/>
    <d v="1899-12-30T12:36:00"/>
    <s v="Ewallet"/>
    <n v="125.64"/>
    <n v="4.7619047620000003"/>
    <n v="6.282"/>
    <n v="4.9000000000000004"/>
    <x v="1"/>
    <n v="4.7619047619047628"/>
    <s v="Good"/>
    <m/>
    <x v="0"/>
  </r>
  <r>
    <x v="868"/>
    <s v="Giza"/>
    <s v="Naypyitaw"/>
    <s v="Member"/>
    <s v="Male"/>
    <s v="Food and beverages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  <x v="2"/>
    <n v="4.7619047619047628"/>
    <s v="Average"/>
    <m/>
    <x v="0"/>
  </r>
  <r>
    <x v="869"/>
    <s v="Alex"/>
    <s v="Yangon"/>
    <s v="Normal"/>
    <s v="Male"/>
    <s v="Sports and travel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  <x v="2"/>
    <n v="4.7619047619047628"/>
    <s v="Average"/>
    <m/>
    <x v="0"/>
  </r>
  <r>
    <x v="870"/>
    <s v="Alex"/>
    <s v="Yangon"/>
    <s v="Member"/>
    <s v="Male"/>
    <s v="Food and beverages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  <x v="2"/>
    <n v="4.761904761904761"/>
    <s v="Excellent"/>
    <m/>
    <x v="0"/>
  </r>
  <r>
    <x v="871"/>
    <s v="Giza"/>
    <s v="Naypyitaw"/>
    <s v="Normal"/>
    <s v="Male"/>
    <s v="Fashion accessories"/>
    <n v="56.5"/>
    <n v="1"/>
    <n v="2.8250000000000002"/>
    <n v="59.325000000000003"/>
    <s v="3/13/2019"/>
    <d v="1899-12-30T15:45:00"/>
    <s v="Ewallet"/>
    <n v="56.5"/>
    <n v="4.7619047620000003"/>
    <n v="2.8250000000000002"/>
    <n v="9.6"/>
    <x v="2"/>
    <n v="4.7619047619047619"/>
    <s v="Good"/>
    <m/>
    <x v="0"/>
  </r>
  <r>
    <x v="872"/>
    <s v="Cairo"/>
    <s v="Mandalay"/>
    <s v="Member"/>
    <s v="Female"/>
    <s v="Electronic accessories"/>
    <n v="21.43"/>
    <n v="10"/>
    <n v="10.715"/>
    <n v="225.01499999999999"/>
    <s v="1/28/2019"/>
    <d v="1899-12-30T11:51:00"/>
    <s v="Cash"/>
    <n v="214.3"/>
    <n v="4.7619047620000003"/>
    <n v="10.715"/>
    <n v="6.2"/>
    <x v="2"/>
    <n v="4.7619047619047619"/>
    <s v="Excellent"/>
    <m/>
    <x v="0"/>
  </r>
  <r>
    <x v="873"/>
    <s v="Alex"/>
    <s v="Yangon"/>
    <s v="Member"/>
    <s v="Male"/>
    <s v="Sports and travel"/>
    <n v="89.06"/>
    <n v="6"/>
    <n v="26.718"/>
    <n v="561.07799999999997"/>
    <s v="1/18/2019"/>
    <d v="1899-12-30T17:26:00"/>
    <s v="Cash"/>
    <n v="534.36"/>
    <n v="4.7619047620000003"/>
    <n v="26.718"/>
    <n v="9.9"/>
    <x v="2"/>
    <n v="4.7619047619047628"/>
    <s v="Good"/>
    <m/>
    <x v="0"/>
  </r>
  <r>
    <x v="874"/>
    <s v="Alex"/>
    <s v="Yangon"/>
    <s v="Member"/>
    <s v="Male"/>
    <s v="Home and lifestyle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  <x v="1"/>
    <n v="4.7619047619047628"/>
    <s v="Excellent"/>
    <m/>
    <x v="0"/>
  </r>
  <r>
    <x v="875"/>
    <s v="Giza"/>
    <s v="Naypyitaw"/>
    <s v="Normal"/>
    <s v="Male"/>
    <s v="Home and lifestyle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  <x v="2"/>
    <n v="4.7619047619047628"/>
    <s v="Average"/>
    <m/>
    <x v="0"/>
  </r>
  <r>
    <x v="876"/>
    <s v="Giza"/>
    <s v="Naypyitaw"/>
    <s v="Member"/>
    <s v="Male"/>
    <s v="Fashion accessories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  <x v="1"/>
    <n v="4.7619047619047628"/>
    <s v="Good"/>
    <m/>
    <x v="0"/>
  </r>
  <r>
    <x v="877"/>
    <s v="Cairo"/>
    <s v="Mandalay"/>
    <s v="Member"/>
    <s v="Male"/>
    <s v="Electronic accessories"/>
    <n v="39.75"/>
    <n v="1"/>
    <n v="1.9875"/>
    <n v="41.737499999999997"/>
    <s v="2/25/2019"/>
    <d v="1899-12-30T20:19:00"/>
    <s v="Cash"/>
    <n v="39.75"/>
    <n v="4.7619047620000003"/>
    <n v="1.9875"/>
    <n v="6.1"/>
    <x v="2"/>
    <n v="4.7619047619047628"/>
    <s v="Average"/>
    <m/>
    <x v="0"/>
  </r>
  <r>
    <x v="878"/>
    <s v="Alex"/>
    <s v="Yangon"/>
    <s v="Normal"/>
    <s v="Female"/>
    <s v="Electronic accessories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  <x v="2"/>
    <n v="4.7619047619047628"/>
    <s v="Good"/>
    <m/>
    <x v="0"/>
  </r>
  <r>
    <x v="879"/>
    <s v="Cairo"/>
    <s v="Mandalay"/>
    <s v="Member"/>
    <s v="Female"/>
    <s v="Electronic accessories"/>
    <n v="12.1"/>
    <n v="8"/>
    <n v="4.84"/>
    <n v="101.64"/>
    <s v="1/19/2019"/>
    <d v="1899-12-30T10:17:00"/>
    <s v="Ewallet"/>
    <n v="96.8"/>
    <n v="4.7619047620000003"/>
    <n v="4.84"/>
    <n v="8.6"/>
    <x v="1"/>
    <n v="4.7619047619047628"/>
    <s v="Average"/>
    <m/>
    <x v="0"/>
  </r>
  <r>
    <x v="880"/>
    <s v="Cairo"/>
    <s v="Mandalay"/>
    <s v="Member"/>
    <s v="Female"/>
    <s v="Food and beverages"/>
    <n v="33.21"/>
    <n v="10"/>
    <n v="16.605"/>
    <n v="348.70499999999998"/>
    <d v="2019-08-01T00:00:00"/>
    <d v="1899-12-30T14:25:00"/>
    <s v="Ewallet"/>
    <n v="332.1"/>
    <n v="4.7619047620000003"/>
    <n v="16.605"/>
    <n v="6"/>
    <x v="2"/>
    <n v="4.7619047619047619"/>
    <s v="Excellent"/>
    <m/>
    <x v="0"/>
  </r>
  <r>
    <x v="881"/>
    <s v="Giza"/>
    <s v="Naypyitaw"/>
    <s v="Member"/>
    <s v="Female"/>
    <s v="Fashion accessories"/>
    <n v="10.18"/>
    <n v="8"/>
    <n v="4.0720000000000001"/>
    <n v="85.512"/>
    <s v="3/30/2019"/>
    <d v="1899-12-30T12:51:00"/>
    <s v="Credit card"/>
    <n v="81.44"/>
    <n v="4.7619047620000003"/>
    <n v="4.0720000000000001"/>
    <n v="9.5"/>
    <x v="2"/>
    <n v="4.7619047619047628"/>
    <s v="Good"/>
    <m/>
    <x v="0"/>
  </r>
  <r>
    <x v="882"/>
    <s v="Cairo"/>
    <s v="Mandalay"/>
    <s v="Member"/>
    <s v="Male"/>
    <s v="Sports and travel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  <x v="2"/>
    <n v="4.7619047619047619"/>
    <s v="Excellent"/>
    <m/>
    <x v="0"/>
  </r>
  <r>
    <x v="883"/>
    <s v="Alex"/>
    <s v="Yangon"/>
    <s v="Member"/>
    <s v="Female"/>
    <s v="Home and lifestyle"/>
    <n v="34.42"/>
    <n v="6"/>
    <n v="10.326000000000001"/>
    <n v="216.846"/>
    <s v="3/30/2019"/>
    <d v="1899-12-30T12:45:00"/>
    <s v="Ewallet"/>
    <n v="206.52"/>
    <n v="4.7619047620000003"/>
    <n v="10.326000000000001"/>
    <n v="7.5"/>
    <x v="2"/>
    <n v="4.7619047619047619"/>
    <s v="Excellent"/>
    <m/>
    <x v="0"/>
  </r>
  <r>
    <x v="884"/>
    <s v="Alex"/>
    <s v="Yangon"/>
    <s v="Member"/>
    <s v="Female"/>
    <s v="Food and beverages"/>
    <n v="83.34"/>
    <n v="2"/>
    <n v="8.3339999999999996"/>
    <n v="175.01400000000001"/>
    <s v="3/19/2019"/>
    <d v="1899-12-30T13:37:00"/>
    <s v="Cash"/>
    <n v="166.68"/>
    <n v="4.7619047620000003"/>
    <n v="8.3339999999999996"/>
    <n v="7.6"/>
    <x v="2"/>
    <n v="4.7619047619047628"/>
    <s v="Good"/>
    <m/>
    <x v="0"/>
  </r>
  <r>
    <x v="885"/>
    <s v="Alex"/>
    <s v="Yangon"/>
    <s v="Normal"/>
    <s v="Male"/>
    <s v="Sports and travel"/>
    <n v="45.58"/>
    <n v="7"/>
    <n v="15.952999999999999"/>
    <n v="335.01299999999998"/>
    <s v="1/13/2019"/>
    <d v="1899-12-30T10:03:00"/>
    <s v="Cash"/>
    <n v="319.06"/>
    <n v="4.7619047620000003"/>
    <n v="15.952999999999999"/>
    <n v="5"/>
    <x v="2"/>
    <n v="4.7619047619047619"/>
    <s v="Good"/>
    <m/>
    <x v="0"/>
  </r>
  <r>
    <x v="886"/>
    <s v="Alex"/>
    <s v="Yangon"/>
    <s v="Member"/>
    <s v="Male"/>
    <s v="Food and beverages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  <x v="2"/>
    <n v="4.7619047619047628"/>
    <s v="Average"/>
    <m/>
    <x v="0"/>
  </r>
  <r>
    <x v="887"/>
    <s v="Alex"/>
    <s v="Yangon"/>
    <s v="Member"/>
    <s v="Female"/>
    <s v="Electronic accessories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  <x v="2"/>
    <n v="4.7619047619047619"/>
    <s v="Good"/>
    <m/>
    <x v="0"/>
  </r>
  <r>
    <x v="888"/>
    <s v="Giza"/>
    <s v="Naypyitaw"/>
    <s v="Normal"/>
    <s v="Female"/>
    <s v="Fashion accessories"/>
    <n v="12.19"/>
    <n v="8"/>
    <n v="4.8760000000000003"/>
    <n v="102.396"/>
    <s v="3/13/2019"/>
    <d v="1899-12-30T12:47:00"/>
    <s v="Ewallet"/>
    <n v="97.52"/>
    <n v="4.7619047620000003"/>
    <n v="4.8760000000000003"/>
    <n v="6.8"/>
    <x v="1"/>
    <n v="4.7619047619047628"/>
    <s v="Excellent"/>
    <m/>
    <x v="0"/>
  </r>
  <r>
    <x v="889"/>
    <s v="Alex"/>
    <s v="Yangon"/>
    <s v="Member"/>
    <s v="Male"/>
    <s v="Sports and travel"/>
    <n v="76.92"/>
    <n v="10"/>
    <n v="38.46"/>
    <n v="807.66"/>
    <s v="3/17/2019"/>
    <d v="1899-12-30T19:53:00"/>
    <s v="Ewallet"/>
    <n v="769.2"/>
    <n v="4.7619047620000003"/>
    <n v="38.46"/>
    <n v="5.6"/>
    <x v="2"/>
    <n v="4.7619047619047628"/>
    <s v="Good"/>
    <m/>
    <x v="0"/>
  </r>
  <r>
    <x v="890"/>
    <s v="Giza"/>
    <s v="Naypyitaw"/>
    <s v="Normal"/>
    <s v="Female"/>
    <s v="Health and beauty"/>
    <n v="83.66"/>
    <n v="5"/>
    <n v="20.914999999999999"/>
    <n v="439.21499999999997"/>
    <s v="2/21/2019"/>
    <d v="1899-12-30T10:26:00"/>
    <s v="Cash"/>
    <n v="418.3"/>
    <n v="4.7619047620000003"/>
    <n v="20.914999999999999"/>
    <n v="7.2"/>
    <x v="1"/>
    <n v="4.7619047619047628"/>
    <s v="Average"/>
    <m/>
    <x v="0"/>
  </r>
  <r>
    <x v="891"/>
    <s v="Cairo"/>
    <s v="Mandalay"/>
    <s v="Normal"/>
    <s v="Female"/>
    <s v="Electronic accessories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  <x v="2"/>
    <n v="4.7619047619047619"/>
    <s v="Good"/>
    <m/>
    <x v="0"/>
  </r>
  <r>
    <x v="892"/>
    <s v="Giza"/>
    <s v="Naypyitaw"/>
    <s v="Member"/>
    <s v="Female"/>
    <s v="Fashion accessories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  <x v="2"/>
    <n v="4.7619047619047628"/>
    <s v="Excellent"/>
    <m/>
    <x v="0"/>
  </r>
  <r>
    <x v="893"/>
    <s v="Cairo"/>
    <s v="Mandalay"/>
    <s v="Normal"/>
    <s v="Male"/>
    <s v="Electronic accessories"/>
    <n v="28.38"/>
    <n v="5"/>
    <n v="7.0949999999999998"/>
    <n v="148.995"/>
    <d v="2019-06-03T00:00:00"/>
    <d v="1899-12-30T20:57:00"/>
    <s v="Cash"/>
    <n v="141.9"/>
    <n v="4.7619047620000003"/>
    <n v="7.0949999999999998"/>
    <n v="9.4"/>
    <x v="2"/>
    <n v="4.7619047619047619"/>
    <s v="Excellent"/>
    <m/>
    <x v="0"/>
  </r>
  <r>
    <x v="894"/>
    <s v="Cairo"/>
    <s v="Mandalay"/>
    <s v="Member"/>
    <s v="Male"/>
    <s v="Electronic accessories"/>
    <n v="50.45"/>
    <n v="6"/>
    <n v="15.135"/>
    <n v="317.83499999999998"/>
    <d v="2019-06-02T00:00:00"/>
    <d v="1899-12-30T15:16:00"/>
    <s v="Credit card"/>
    <n v="302.7"/>
    <n v="4.7619047620000003"/>
    <n v="15.135"/>
    <n v="8.9"/>
    <x v="2"/>
    <n v="4.7619047619047619"/>
    <s v="Excellent"/>
    <m/>
    <x v="0"/>
  </r>
  <r>
    <x v="895"/>
    <s v="Cairo"/>
    <s v="Mandalay"/>
    <s v="Normal"/>
    <s v="Male"/>
    <s v="Health and beauty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  <x v="2"/>
    <n v="4.7619047619047628"/>
    <s v="Excellent"/>
    <m/>
    <x v="0"/>
  </r>
  <r>
    <x v="896"/>
    <s v="Giza"/>
    <s v="Naypyitaw"/>
    <s v="Normal"/>
    <s v="Male"/>
    <s v="Fashion accessories"/>
    <n v="60.74"/>
    <n v="7"/>
    <n v="21.259"/>
    <n v="446.43900000000002"/>
    <s v="1/18/2019"/>
    <d v="1899-12-30T16:23:00"/>
    <s v="Ewallet"/>
    <n v="425.18"/>
    <n v="4.7619047620000003"/>
    <n v="21.259"/>
    <n v="5"/>
    <x v="1"/>
    <n v="4.7619047619047628"/>
    <s v="Average"/>
    <m/>
    <x v="0"/>
  </r>
  <r>
    <x v="897"/>
    <s v="Giza"/>
    <s v="Naypyitaw"/>
    <s v="Member"/>
    <s v="Female"/>
    <s v="Food and beverages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  <x v="2"/>
    <n v="4.7619047619047619"/>
    <s v="Average"/>
    <m/>
    <x v="0"/>
  </r>
  <r>
    <x v="898"/>
    <s v="Giza"/>
    <s v="Naypyitaw"/>
    <s v="Member"/>
    <s v="Male"/>
    <s v="Health and beauty"/>
    <n v="85.6"/>
    <n v="7"/>
    <n v="29.96"/>
    <n v="629.16"/>
    <d v="2019-02-03T00:00:00"/>
    <d v="1899-12-30T13:50:00"/>
    <s v="Cash"/>
    <n v="599.20000000000005"/>
    <n v="4.7619047620000003"/>
    <n v="29.96"/>
    <n v="5.3"/>
    <x v="2"/>
    <n v="4.7619047619047619"/>
    <s v="Excellent"/>
    <m/>
    <x v="0"/>
  </r>
  <r>
    <x v="899"/>
    <s v="Alex"/>
    <s v="Yangon"/>
    <s v="Member"/>
    <s v="Male"/>
    <s v="Food and beverages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  <x v="1"/>
    <n v="4.7619047619047628"/>
    <s v="Average"/>
    <m/>
    <x v="0"/>
  </r>
  <r>
    <x v="900"/>
    <s v="Giza"/>
    <s v="Naypyitaw"/>
    <s v="Member"/>
    <s v="Female"/>
    <s v="Electronic accessories"/>
    <n v="44.84"/>
    <n v="9"/>
    <n v="20.178000000000001"/>
    <n v="423.738"/>
    <s v="1/14/2019"/>
    <d v="1899-12-30T14:00:00"/>
    <s v="Credit card"/>
    <n v="403.56"/>
    <n v="4.7619047620000003"/>
    <n v="20.178000000000001"/>
    <n v="7.5"/>
    <x v="2"/>
    <n v="4.7619047619047628"/>
    <s v="Average"/>
    <m/>
    <x v="0"/>
  </r>
  <r>
    <x v="901"/>
    <s v="Cairo"/>
    <s v="Mandalay"/>
    <s v="Normal"/>
    <s v="Male"/>
    <s v="Home and lifestyle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  <x v="2"/>
    <n v="4.7619047619047628"/>
    <s v="Good"/>
    <m/>
    <x v="0"/>
  </r>
  <r>
    <x v="902"/>
    <s v="Alex"/>
    <s v="Yangon"/>
    <s v="Member"/>
    <s v="Female"/>
    <s v="Health and beauty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  <x v="2"/>
    <n v="4.7619047619047628"/>
    <s v="Average"/>
    <m/>
    <x v="0"/>
  </r>
  <r>
    <x v="903"/>
    <s v="Alex"/>
    <s v="Yangon"/>
    <s v="Normal"/>
    <s v="Male"/>
    <s v="Food and beverages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  <x v="2"/>
    <n v="4.7619047619047619"/>
    <s v="Average"/>
    <m/>
    <x v="0"/>
  </r>
  <r>
    <x v="904"/>
    <s v="Giza"/>
    <s v="Naypyitaw"/>
    <s v="Normal"/>
    <s v="Female"/>
    <s v="Health and beauty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  <x v="2"/>
    <n v="4.7619047619047619"/>
    <s v="Excellent"/>
    <m/>
    <x v="0"/>
  </r>
  <r>
    <x v="905"/>
    <s v="Giza"/>
    <s v="Naypyitaw"/>
    <s v="Member"/>
    <s v="Female"/>
    <s v="Home and lifestyle"/>
    <n v="78.38"/>
    <n v="4"/>
    <n v="15.676"/>
    <n v="329.19600000000003"/>
    <s v="3/24/2019"/>
    <d v="1899-12-30T17:56:00"/>
    <s v="Cash"/>
    <n v="313.52"/>
    <n v="4.7619047620000003"/>
    <n v="15.676"/>
    <n v="7.9"/>
    <x v="2"/>
    <n v="4.7619047619047628"/>
    <s v="Good"/>
    <m/>
    <x v="0"/>
  </r>
  <r>
    <x v="906"/>
    <s v="Giza"/>
    <s v="Naypyitaw"/>
    <s v="Normal"/>
    <s v="Male"/>
    <s v="Health and beauty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  <x v="2"/>
    <n v="4.7619047619047619"/>
    <s v="Good"/>
    <m/>
    <x v="0"/>
  </r>
  <r>
    <x v="907"/>
    <s v="Cairo"/>
    <s v="Mandalay"/>
    <s v="Normal"/>
    <s v="Female"/>
    <s v="Health and beauty"/>
    <n v="82.88"/>
    <n v="5"/>
    <n v="20.72"/>
    <n v="435.12"/>
    <s v="3/24/2019"/>
    <d v="1899-12-30T14:08:00"/>
    <s v="Credit card"/>
    <n v="414.4"/>
    <n v="4.7619047620000003"/>
    <n v="20.72"/>
    <n v="6.6"/>
    <x v="1"/>
    <n v="4.7619047619047628"/>
    <s v="Excellent"/>
    <m/>
    <x v="0"/>
  </r>
  <r>
    <x v="908"/>
    <s v="Alex"/>
    <s v="Yangon"/>
    <s v="Member"/>
    <s v="Female"/>
    <s v="Food and beverages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  <x v="2"/>
    <n v="4.7619047619047619"/>
    <s v="Good"/>
    <m/>
    <x v="0"/>
  </r>
  <r>
    <x v="909"/>
    <s v="Cairo"/>
    <s v="Mandalay"/>
    <s v="Normal"/>
    <s v="Female"/>
    <s v="Home and lifestyle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  <x v="2"/>
    <n v="4.7619047619047619"/>
    <s v="Good"/>
    <m/>
    <x v="0"/>
  </r>
  <r>
    <x v="910"/>
    <s v="Cairo"/>
    <s v="Mandalay"/>
    <s v="Member"/>
    <s v="Female"/>
    <s v="Food and beverages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  <x v="1"/>
    <n v="4.7619047619047619"/>
    <s v="Average"/>
    <m/>
    <x v="0"/>
  </r>
  <r>
    <x v="911"/>
    <s v="Giza"/>
    <s v="Naypyitaw"/>
    <s v="Normal"/>
    <s v="Female"/>
    <s v="Electronic accessories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  <x v="2"/>
    <n v="4.761904761904761"/>
    <s v="Good"/>
    <m/>
    <x v="0"/>
  </r>
  <r>
    <x v="912"/>
    <s v="Alex"/>
    <s v="Yangon"/>
    <s v="Normal"/>
    <s v="Female"/>
    <s v="Home and lifestyle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  <x v="2"/>
    <n v="4.7619047619047628"/>
    <s v="Excellent"/>
    <m/>
    <x v="0"/>
  </r>
  <r>
    <x v="913"/>
    <s v="Alex"/>
    <s v="Yangon"/>
    <s v="Member"/>
    <s v="Male"/>
    <s v="Fashion accessories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  <x v="1"/>
    <n v="4.7619047619047619"/>
    <s v="Good"/>
    <m/>
    <x v="0"/>
  </r>
  <r>
    <x v="914"/>
    <s v="Alex"/>
    <s v="Yangon"/>
    <s v="Member"/>
    <s v="Female"/>
    <s v="Food and beverages"/>
    <n v="99.6"/>
    <n v="3"/>
    <n v="14.94"/>
    <n v="313.74"/>
    <s v="2/25/2019"/>
    <d v="1899-12-30T18:45:00"/>
    <s v="Cash"/>
    <n v="298.8"/>
    <n v="4.7619047620000003"/>
    <n v="14.94"/>
    <n v="5.8"/>
    <x v="2"/>
    <n v="4.7619047619047628"/>
    <s v="Good"/>
    <m/>
    <x v="0"/>
  </r>
  <r>
    <x v="915"/>
    <s v="Giza"/>
    <s v="Naypyitaw"/>
    <s v="Normal"/>
    <s v="Female"/>
    <s v="Electronic accessories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x v="2"/>
    <n v="4.7619047619047619"/>
    <s v="Average"/>
    <m/>
    <x v="0"/>
  </r>
  <r>
    <x v="916"/>
    <s v="Giza"/>
    <s v="Naypyitaw"/>
    <s v="Member"/>
    <s v="Male"/>
    <s v="Sports and travel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  <x v="2"/>
    <n v="4.7619047619047628"/>
    <s v="Average"/>
    <m/>
    <x v="0"/>
  </r>
  <r>
    <x v="917"/>
    <s v="Alex"/>
    <s v="Yangon"/>
    <s v="Normal"/>
    <s v="Female"/>
    <s v="Fashion accessories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  <x v="2"/>
    <n v="4.7619047619047628"/>
    <s v="Excellent"/>
    <m/>
    <x v="0"/>
  </r>
  <r>
    <x v="918"/>
    <s v="Cairo"/>
    <s v="Mandalay"/>
    <s v="Normal"/>
    <s v="Male"/>
    <s v="Home and lifestyle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  <x v="2"/>
    <n v="4.7619047619047628"/>
    <s v="Good"/>
    <m/>
    <x v="0"/>
  </r>
  <r>
    <x v="919"/>
    <s v="Cairo"/>
    <s v="Mandalay"/>
    <s v="Member"/>
    <s v="Female"/>
    <s v="Electronic accessories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  <x v="2"/>
    <n v="4.7619047619047619"/>
    <s v="Excellent"/>
    <m/>
    <x v="0"/>
  </r>
  <r>
    <x v="920"/>
    <s v="Giza"/>
    <s v="Naypyitaw"/>
    <s v="Member"/>
    <s v="Female"/>
    <s v="Home and lifestyle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  <x v="2"/>
    <n v="4.7619047619047628"/>
    <s v="Good"/>
    <m/>
    <x v="0"/>
  </r>
  <r>
    <x v="921"/>
    <s v="Cairo"/>
    <s v="Mandalay"/>
    <s v="Normal"/>
    <s v="Female"/>
    <s v="Home and lifestyle"/>
    <n v="16.37"/>
    <n v="6"/>
    <n v="4.9109999999999996"/>
    <n v="103.131"/>
    <d v="2019-08-02T00:00:00"/>
    <d v="1899-12-30T10:58:00"/>
    <s v="Cash"/>
    <n v="98.22"/>
    <n v="4.7619047620000003"/>
    <n v="4.9109999999999996"/>
    <n v="7"/>
    <x v="2"/>
    <n v="4.7619047619047619"/>
    <s v="Average"/>
    <m/>
    <x v="0"/>
  </r>
  <r>
    <x v="922"/>
    <s v="Giza"/>
    <s v="Naypyitaw"/>
    <s v="Member"/>
    <s v="Female"/>
    <s v="Home and lifestyle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  <x v="2"/>
    <n v="4.7619047619047619"/>
    <s v="Good"/>
    <m/>
    <x v="0"/>
  </r>
  <r>
    <x v="923"/>
    <s v="Giza"/>
    <s v="Naypyitaw"/>
    <s v="Normal"/>
    <s v="Female"/>
    <s v="Sports and travel"/>
    <n v="83.14"/>
    <n v="7"/>
    <n v="29.099"/>
    <n v="611.07899999999995"/>
    <d v="2019-10-01T00:00:00"/>
    <d v="1899-12-30T10:31:00"/>
    <s v="Credit card"/>
    <n v="581.98"/>
    <n v="4.7619047620000003"/>
    <n v="29.099"/>
    <n v="6.6"/>
    <x v="2"/>
    <n v="4.7619047619047619"/>
    <s v="Average"/>
    <m/>
    <x v="0"/>
  </r>
  <r>
    <x v="924"/>
    <s v="Giza"/>
    <s v="Naypyitaw"/>
    <s v="Member"/>
    <s v="Female"/>
    <s v="Sports and travel"/>
    <n v="35.22"/>
    <n v="6"/>
    <n v="10.566000000000001"/>
    <n v="221.886"/>
    <s v="3/14/2019"/>
    <d v="1899-12-30T13:49:00"/>
    <s v="Ewallet"/>
    <n v="211.32"/>
    <n v="4.7619047620000003"/>
    <n v="10.566000000000001"/>
    <n v="6.5"/>
    <x v="1"/>
    <n v="4.7619047619047628"/>
    <s v="Good"/>
    <m/>
    <x v="0"/>
  </r>
  <r>
    <x v="925"/>
    <s v="Cairo"/>
    <s v="Mandalay"/>
    <s v="Normal"/>
    <s v="Female"/>
    <s v="Electronic accessories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  <x v="2"/>
    <n v="4.7619047619047628"/>
    <s v="Good"/>
    <m/>
    <x v="0"/>
  </r>
  <r>
    <x v="926"/>
    <s v="Cairo"/>
    <s v="Mandalay"/>
    <s v="Member"/>
    <s v="Male"/>
    <s v="Sports and travel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  <x v="2"/>
    <n v="4.7619047619047619"/>
    <s v="Excellent"/>
    <m/>
    <x v="0"/>
  </r>
  <r>
    <x v="927"/>
    <s v="Alex"/>
    <s v="Yangon"/>
    <s v="Member"/>
    <s v="Female"/>
    <s v="Health and beauty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  <x v="2"/>
    <n v="4.7619047619047619"/>
    <s v="Average"/>
    <m/>
    <x v="0"/>
  </r>
  <r>
    <x v="928"/>
    <s v="Cairo"/>
    <s v="Mandalay"/>
    <s v="Normal"/>
    <s v="Female"/>
    <s v="Electronic accessories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  <x v="2"/>
    <n v="4.7619047619047628"/>
    <s v="Good"/>
    <m/>
    <x v="0"/>
  </r>
  <r>
    <x v="929"/>
    <s v="Cairo"/>
    <s v="Mandalay"/>
    <s v="Normal"/>
    <s v="Male"/>
    <s v="Sports and travel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  <x v="1"/>
    <n v="4.7619047619047619"/>
    <s v="Good"/>
    <m/>
    <x v="0"/>
  </r>
  <r>
    <x v="930"/>
    <s v="Cairo"/>
    <s v="Mandalay"/>
    <s v="Normal"/>
    <s v="Male"/>
    <s v="Home and lifestyle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  <x v="2"/>
    <n v="4.7619047619047619"/>
    <s v="Good"/>
    <m/>
    <x v="0"/>
  </r>
  <r>
    <x v="931"/>
    <s v="Giza"/>
    <s v="Naypyitaw"/>
    <s v="Member"/>
    <s v="Female"/>
    <s v="Fashion accessories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x v="1"/>
    <n v="4.7619047619047619"/>
    <s v="Good"/>
    <m/>
    <x v="0"/>
  </r>
  <r>
    <x v="932"/>
    <s v="Alex"/>
    <s v="Yangon"/>
    <s v="Normal"/>
    <s v="Female"/>
    <s v="Food and beverages"/>
    <n v="74.44"/>
    <n v="10"/>
    <n v="37.22"/>
    <n v="781.62"/>
    <s v="2/27/2019"/>
    <d v="1899-12-30T11:40:00"/>
    <s v="Ewallet"/>
    <n v="744.4"/>
    <n v="4.7619047620000003"/>
    <n v="37.22"/>
    <n v="5.0999999999999996"/>
    <x v="2"/>
    <n v="4.7619047619047628"/>
    <s v="Excellent"/>
    <m/>
    <x v="0"/>
  </r>
  <r>
    <x v="933"/>
    <s v="Giza"/>
    <s v="Naypyitaw"/>
    <s v="Normal"/>
    <s v="Male"/>
    <s v="Health and beauty"/>
    <n v="64.08"/>
    <n v="7"/>
    <n v="22.428000000000001"/>
    <n v="470.988"/>
    <s v="1/20/2019"/>
    <d v="1899-12-30T12:27:00"/>
    <s v="Ewallet"/>
    <n v="448.56"/>
    <n v="4.7619047620000003"/>
    <n v="22.428000000000001"/>
    <n v="7.6"/>
    <x v="1"/>
    <n v="4.7619047619047619"/>
    <s v="Average"/>
    <m/>
    <x v="0"/>
  </r>
  <r>
    <x v="934"/>
    <s v="Cairo"/>
    <s v="Mandalay"/>
    <s v="Normal"/>
    <s v="Female"/>
    <s v="Home and lifestyle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  <x v="2"/>
    <n v="4.7619047619047628"/>
    <s v="Good"/>
    <m/>
    <x v="0"/>
  </r>
  <r>
    <x v="935"/>
    <s v="Giza"/>
    <s v="Naypyitaw"/>
    <s v="Member"/>
    <s v="Male"/>
    <s v="Home and lifestyle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  <x v="2"/>
    <n v="4.7619047619047619"/>
    <s v="Excellent"/>
    <m/>
    <x v="0"/>
  </r>
  <r>
    <x v="936"/>
    <s v="Giza"/>
    <s v="Naypyitaw"/>
    <s v="Normal"/>
    <s v="Female"/>
    <s v="Health and beauty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  <x v="2"/>
    <n v="4.7619047619047628"/>
    <s v="Average"/>
    <m/>
    <x v="0"/>
  </r>
  <r>
    <x v="937"/>
    <s v="Alex"/>
    <s v="Yangon"/>
    <s v="Normal"/>
    <s v="Female"/>
    <s v="Sports and travel"/>
    <n v="89.48"/>
    <n v="5"/>
    <n v="22.37"/>
    <n v="469.77"/>
    <s v="3/30/2019"/>
    <d v="1899-12-30T10:18:00"/>
    <s v="Cash"/>
    <n v="447.4"/>
    <n v="4.7619047620000003"/>
    <n v="22.37"/>
    <n v="7.4"/>
    <x v="1"/>
    <n v="4.7619047619047619"/>
    <s v="Good"/>
    <m/>
    <x v="0"/>
  </r>
  <r>
    <x v="938"/>
    <s v="Alex"/>
    <s v="Yangon"/>
    <s v="Member"/>
    <s v="Female"/>
    <s v="Health and beauty"/>
    <n v="92.09"/>
    <n v="3"/>
    <n v="13.813499999999999"/>
    <n v="290.08350000000002"/>
    <s v="2/17/2019"/>
    <d v="1899-12-30T16:27:00"/>
    <s v="Cash"/>
    <n v="276.27"/>
    <n v="4.7619047620000003"/>
    <n v="13.813499999999999"/>
    <n v="4.2"/>
    <x v="2"/>
    <n v="4.7619047619047628"/>
    <s v="Good"/>
    <m/>
    <x v="0"/>
  </r>
  <r>
    <x v="939"/>
    <s v="Giza"/>
    <s v="Naypyitaw"/>
    <s v="Normal"/>
    <s v="Female"/>
    <s v="Food and beverages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  <x v="2"/>
    <n v="4.7619047619047619"/>
    <s v="Average"/>
    <m/>
    <x v="0"/>
  </r>
  <r>
    <x v="940"/>
    <s v="Alex"/>
    <s v="Yangon"/>
    <s v="Normal"/>
    <s v="Male"/>
    <s v="Food and beverages"/>
    <n v="66.52"/>
    <n v="4"/>
    <n v="13.304"/>
    <n v="279.38400000000001"/>
    <d v="2019-02-03T00:00:00"/>
    <d v="1899-12-30T18:14:00"/>
    <s v="Ewallet"/>
    <n v="266.08"/>
    <n v="4.7619047620000003"/>
    <n v="13.304"/>
    <n v="6.9"/>
    <x v="2"/>
    <n v="4.7619047619047619"/>
    <s v="Average"/>
    <m/>
    <x v="0"/>
  </r>
  <r>
    <x v="941"/>
    <s v="Giza"/>
    <s v="Naypyitaw"/>
    <s v="Member"/>
    <s v="Male"/>
    <s v="Fashion accessories"/>
    <n v="99.82"/>
    <n v="9"/>
    <n v="44.918999999999997"/>
    <n v="943.29899999999998"/>
    <s v="3/27/2019"/>
    <d v="1899-12-30T10:43:00"/>
    <s v="Cash"/>
    <n v="898.38"/>
    <n v="4.7619047620000003"/>
    <n v="44.918999999999997"/>
    <n v="6.6"/>
    <x v="2"/>
    <n v="4.7619047619047619"/>
    <s v="Good"/>
    <m/>
    <x v="0"/>
  </r>
  <r>
    <x v="942"/>
    <s v="Alex"/>
    <s v="Yangon"/>
    <s v="Normal"/>
    <s v="Female"/>
    <s v="Home and lifestyle"/>
    <n v="45.68"/>
    <n v="10"/>
    <n v="22.84"/>
    <n v="479.64"/>
    <s v="1/19/2019"/>
    <d v="1899-12-30T19:30:00"/>
    <s v="Ewallet"/>
    <n v="456.8"/>
    <n v="4.7619047620000003"/>
    <n v="22.84"/>
    <n v="5.7"/>
    <x v="1"/>
    <n v="4.7619047619047619"/>
    <s v="Good"/>
    <m/>
    <x v="0"/>
  </r>
  <r>
    <x v="943"/>
    <s v="Alex"/>
    <s v="Yangon"/>
    <s v="Normal"/>
    <s v="Male"/>
    <s v="Health and beauty"/>
    <n v="50.79"/>
    <n v="5"/>
    <n v="12.6975"/>
    <n v="266.64749999999998"/>
    <s v="2/19/2019"/>
    <d v="1899-12-30T14:53:00"/>
    <s v="Credit card"/>
    <n v="253.95"/>
    <n v="4.7619047620000003"/>
    <n v="12.6975"/>
    <n v="5.3"/>
    <x v="2"/>
    <n v="4.7619047619047628"/>
    <s v="Average"/>
    <m/>
    <x v="0"/>
  </r>
  <r>
    <x v="944"/>
    <s v="Alex"/>
    <s v="Yangon"/>
    <s v="Member"/>
    <s v="Male"/>
    <s v="Health and beauty"/>
    <n v="10.08"/>
    <n v="7"/>
    <n v="3.528"/>
    <n v="74.087999999999994"/>
    <s v="3/28/2019"/>
    <d v="1899-12-30T20:14:00"/>
    <s v="Cash"/>
    <n v="70.56"/>
    <n v="4.7619047620000003"/>
    <n v="3.528"/>
    <n v="4.2"/>
    <x v="2"/>
    <n v="4.7619047619047628"/>
    <s v="Average"/>
    <m/>
    <x v="0"/>
  </r>
  <r>
    <x v="945"/>
    <s v="Alex"/>
    <s v="Yangon"/>
    <s v="Normal"/>
    <s v="Female"/>
    <s v="Electronic accessories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  <x v="2"/>
    <n v="4.7619047619047628"/>
    <s v="Average"/>
    <m/>
    <x v="0"/>
  </r>
  <r>
    <x v="946"/>
    <s v="Giza"/>
    <s v="Naypyitaw"/>
    <s v="Member"/>
    <s v="Male"/>
    <s v="Electronic accessories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  <x v="1"/>
    <n v="4.761904761904761"/>
    <s v="Good"/>
    <m/>
    <x v="0"/>
  </r>
  <r>
    <x v="947"/>
    <s v="Cairo"/>
    <s v="Mandalay"/>
    <s v="Member"/>
    <s v="Male"/>
    <s v="Fashion accessories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  <x v="2"/>
    <n v="4.7619047619047628"/>
    <s v="Average"/>
    <m/>
    <x v="0"/>
  </r>
  <r>
    <x v="948"/>
    <s v="Giza"/>
    <s v="Naypyitaw"/>
    <s v="Member"/>
    <s v="Male"/>
    <s v="Home and lifestyle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  <x v="2"/>
    <n v="4.7619047619047619"/>
    <s v="Average"/>
    <m/>
    <x v="0"/>
  </r>
  <r>
    <x v="949"/>
    <s v="Cairo"/>
    <s v="Mandalay"/>
    <s v="Normal"/>
    <s v="Female"/>
    <s v="Food and beverages"/>
    <n v="26.43"/>
    <n v="8"/>
    <n v="10.571999999999999"/>
    <n v="222.012"/>
    <s v="2/24/2019"/>
    <d v="1899-12-30T14:26:00"/>
    <s v="Ewallet"/>
    <n v="211.44"/>
    <n v="4.7619047620000003"/>
    <n v="10.571999999999999"/>
    <n v="8.9"/>
    <x v="2"/>
    <n v="4.7619047619047628"/>
    <s v="Good"/>
    <m/>
    <x v="0"/>
  </r>
  <r>
    <x v="950"/>
    <s v="Cairo"/>
    <s v="Mandalay"/>
    <s v="Member"/>
    <s v="Male"/>
    <s v="Health and beauty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  <x v="2"/>
    <n v="4.7619047619047619"/>
    <s v="Excellent"/>
    <m/>
    <x v="0"/>
  </r>
  <r>
    <x v="951"/>
    <s v="Cairo"/>
    <s v="Mandalay"/>
    <s v="Member"/>
    <s v="Female"/>
    <s v="Home and lifestyle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  <x v="2"/>
    <n v="4.7619047619047628"/>
    <s v="Excellent"/>
    <m/>
    <x v="0"/>
  </r>
  <r>
    <x v="952"/>
    <s v="Cairo"/>
    <s v="Mandalay"/>
    <s v="Member"/>
    <s v="Female"/>
    <s v="Food and beverages"/>
    <n v="62.85"/>
    <n v="4"/>
    <n v="12.57"/>
    <n v="263.97000000000003"/>
    <s v="2/25/2019"/>
    <d v="1899-12-30T13:22:00"/>
    <s v="Ewallet"/>
    <n v="251.4"/>
    <n v="4.7619047620000003"/>
    <n v="12.57"/>
    <n v="8.6999999999999993"/>
    <x v="2"/>
    <n v="4.7619047619047628"/>
    <s v="Average"/>
    <m/>
    <x v="0"/>
  </r>
  <r>
    <x v="953"/>
    <s v="Giza"/>
    <s v="Naypyitaw"/>
    <s v="Member"/>
    <s v="Female"/>
    <s v="Food and beverages"/>
    <n v="21.04"/>
    <n v="4"/>
    <n v="4.2080000000000002"/>
    <n v="88.367999999999995"/>
    <s v="1/13/2019"/>
    <d v="1899-12-30T13:58:00"/>
    <s v="Cash"/>
    <n v="84.16"/>
    <n v="4.7619047620000003"/>
    <n v="4.2080000000000002"/>
    <n v="7.6"/>
    <x v="2"/>
    <n v="4.7619047619047619"/>
    <s v="Excellent"/>
    <m/>
    <x v="0"/>
  </r>
  <r>
    <x v="954"/>
    <s v="Cairo"/>
    <s v="Mandalay"/>
    <s v="Member"/>
    <s v="Male"/>
    <s v="Home and lifestyle"/>
    <n v="65.91"/>
    <n v="6"/>
    <n v="19.773"/>
    <n v="415.233"/>
    <d v="2019-09-02T00:00:00"/>
    <d v="1899-12-30T11:45:00"/>
    <s v="Cash"/>
    <n v="395.46"/>
    <n v="4.7619047620000003"/>
    <n v="19.773"/>
    <n v="5.7"/>
    <x v="2"/>
    <n v="4.7619047619047628"/>
    <s v="Good"/>
    <m/>
    <x v="0"/>
  </r>
  <r>
    <x v="955"/>
    <s v="Alex"/>
    <s v="Yangon"/>
    <s v="Normal"/>
    <s v="Female"/>
    <s v="Fashion accessories"/>
    <n v="42.57"/>
    <n v="7"/>
    <n v="14.8995"/>
    <n v="312.8895"/>
    <d v="2019-06-01T00:00:00"/>
    <d v="1899-12-30T11:51:00"/>
    <s v="Cash"/>
    <n v="297.99"/>
    <n v="4.7619047620000003"/>
    <n v="14.8995"/>
    <n v="6.8"/>
    <x v="2"/>
    <n v="4.7619047619047619"/>
    <s v="Average"/>
    <m/>
    <x v="0"/>
  </r>
  <r>
    <x v="956"/>
    <s v="Giza"/>
    <s v="Naypyitaw"/>
    <s v="Member"/>
    <s v="Male"/>
    <s v="Food and beverages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  <x v="2"/>
    <n v="4.7619047619047619"/>
    <s v="Good"/>
    <m/>
    <x v="0"/>
  </r>
  <r>
    <x v="957"/>
    <s v="Cairo"/>
    <s v="Mandalay"/>
    <s v="Normal"/>
    <s v="Male"/>
    <s v="Electronic accessories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  <x v="2"/>
    <n v="4.7619047619047628"/>
    <s v="Average"/>
    <m/>
    <x v="0"/>
  </r>
  <r>
    <x v="958"/>
    <s v="Giza"/>
    <s v="Naypyitaw"/>
    <s v="Normal"/>
    <s v="Female"/>
    <s v="Home and lifestyle"/>
    <n v="15.8"/>
    <n v="10"/>
    <n v="7.9"/>
    <n v="165.9"/>
    <d v="2019-09-01T00:00:00"/>
    <d v="1899-12-30T12:07:00"/>
    <s v="Cash"/>
    <n v="158"/>
    <n v="4.7619047620000003"/>
    <n v="7.9"/>
    <n v="7.8"/>
    <x v="2"/>
    <n v="4.7619047619047619"/>
    <s v="Good"/>
    <m/>
    <x v="0"/>
  </r>
  <r>
    <x v="959"/>
    <s v="Alex"/>
    <s v="Yangon"/>
    <s v="Member"/>
    <s v="Female"/>
    <s v="Food and beverages"/>
    <n v="98.66"/>
    <n v="9"/>
    <n v="44.396999999999998"/>
    <n v="932.33699999999999"/>
    <s v="2/19/2019"/>
    <d v="1899-12-30T15:07:00"/>
    <s v="Cash"/>
    <n v="887.94"/>
    <n v="4.7619047620000003"/>
    <n v="44.396999999999998"/>
    <n v="8.4"/>
    <x v="2"/>
    <n v="4.7619047619047619"/>
    <s v="Good"/>
    <m/>
    <x v="0"/>
  </r>
  <r>
    <x v="960"/>
    <s v="Giza"/>
    <s v="Naypyitaw"/>
    <s v="Member"/>
    <s v="Male"/>
    <s v="Fashion accessories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  <x v="1"/>
    <n v="4.7619047619047619"/>
    <s v="Excellent"/>
    <m/>
    <x v="0"/>
  </r>
  <r>
    <x v="961"/>
    <s v="Alex"/>
    <s v="Yangon"/>
    <s v="Member"/>
    <s v="Male"/>
    <s v="Electronic accessories"/>
    <n v="20.89"/>
    <n v="2"/>
    <n v="2.089"/>
    <n v="43.869"/>
    <d v="2019-05-02T00:00:00"/>
    <d v="1899-12-30T18:45:00"/>
    <s v="Cash"/>
    <n v="41.78"/>
    <n v="4.7619047620000003"/>
    <n v="2.089"/>
    <n v="9.8000000000000007"/>
    <x v="2"/>
    <n v="4.7619047619047628"/>
    <s v="Excellent"/>
    <m/>
    <x v="0"/>
  </r>
  <r>
    <x v="962"/>
    <s v="Alex"/>
    <s v="Yangon"/>
    <s v="Normal"/>
    <s v="Female"/>
    <s v="Fashion accessories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  <x v="2"/>
    <n v="4.7619047619047619"/>
    <s v="Excellent"/>
    <m/>
    <x v="0"/>
  </r>
  <r>
    <x v="963"/>
    <s v="Giza"/>
    <s v="Naypyitaw"/>
    <s v="Member"/>
    <s v="Male"/>
    <s v="Electronic accessories"/>
    <n v="96.82"/>
    <n v="3"/>
    <n v="14.523"/>
    <n v="304.983"/>
    <s v="3/30/2019"/>
    <d v="1899-12-30T20:37:00"/>
    <s v="Cash"/>
    <n v="290.45999999999998"/>
    <n v="4.7619047620000003"/>
    <n v="14.523"/>
    <n v="6.7"/>
    <x v="2"/>
    <n v="4.7619047619047628"/>
    <s v="Good"/>
    <m/>
    <x v="0"/>
  </r>
  <r>
    <x v="964"/>
    <s v="Cairo"/>
    <s v="Mandalay"/>
    <s v="Normal"/>
    <s v="Male"/>
    <s v="Food and beverages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  <x v="2"/>
    <n v="4.7619047619047619"/>
    <s v="Good"/>
    <m/>
    <x v="0"/>
  </r>
  <r>
    <x v="965"/>
    <s v="Cairo"/>
    <s v="Mandalay"/>
    <s v="Normal"/>
    <s v="Female"/>
    <s v="Electronic accessories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  <x v="2"/>
    <n v="4.7619047619047628"/>
    <s v="Good"/>
    <m/>
    <x v="0"/>
  </r>
  <r>
    <x v="966"/>
    <s v="Alex"/>
    <s v="Yangon"/>
    <s v="Normal"/>
    <s v="Female"/>
    <s v="Home and lifestyle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  <x v="2"/>
    <n v="4.7619047619047619"/>
    <s v="Average"/>
    <m/>
    <x v="0"/>
  </r>
  <r>
    <x v="967"/>
    <s v="Alex"/>
    <s v="Yangon"/>
    <s v="Member"/>
    <s v="Male"/>
    <s v="Home and lifestyle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  <x v="2"/>
    <n v="4.7619047619047619"/>
    <s v="Good"/>
    <m/>
    <x v="0"/>
  </r>
  <r>
    <x v="968"/>
    <s v="Alex"/>
    <s v="Yangon"/>
    <s v="Normal"/>
    <s v="Female"/>
    <s v="Health and beauty"/>
    <n v="15.8"/>
    <n v="3"/>
    <n v="2.37"/>
    <n v="49.77"/>
    <s v="3/25/2019"/>
    <d v="1899-12-30T18:02:00"/>
    <s v="Cash"/>
    <n v="47.4"/>
    <n v="4.7619047620000003"/>
    <n v="2.37"/>
    <n v="9.5"/>
    <x v="2"/>
    <n v="4.7619047619047628"/>
    <s v="Excellent"/>
    <m/>
    <x v="0"/>
  </r>
  <r>
    <x v="969"/>
    <s v="Cairo"/>
    <s v="Mandalay"/>
    <s v="Member"/>
    <s v="Female"/>
    <s v="Electronic accessories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  <x v="2"/>
    <n v="4.7619047619047619"/>
    <s v="Excellent"/>
    <m/>
    <x v="0"/>
  </r>
  <r>
    <x v="970"/>
    <s v="Cairo"/>
    <s v="Mandalay"/>
    <s v="Member"/>
    <s v="Female"/>
    <s v="Food and beverages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x v="2"/>
    <n v="4.7619047619047628"/>
    <s v="Excellent"/>
    <m/>
    <x v="0"/>
  </r>
  <r>
    <x v="971"/>
    <s v="Cairo"/>
    <s v="Mandalay"/>
    <s v="Member"/>
    <s v="Male"/>
    <s v="Home and lifestyle"/>
    <n v="36.909999999999997"/>
    <n v="7"/>
    <n v="12.9185"/>
    <n v="271.2885"/>
    <d v="2019-10-02T00:00:00"/>
    <d v="1899-12-30T13:51:00"/>
    <s v="Ewallet"/>
    <n v="258.37"/>
    <n v="4.7619047620000003"/>
    <n v="12.9185"/>
    <n v="6.7"/>
    <x v="1"/>
    <n v="4.7619047619047619"/>
    <s v="Excellent"/>
    <m/>
    <x v="0"/>
  </r>
  <r>
    <x v="972"/>
    <s v="Cairo"/>
    <s v="Mandalay"/>
    <s v="Normal"/>
    <s v="Male"/>
    <s v="Electronic accessories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  <x v="2"/>
    <n v="4.7619047619047619"/>
    <s v="Good"/>
    <m/>
    <x v="0"/>
  </r>
  <r>
    <x v="973"/>
    <s v="Alex"/>
    <s v="Yangon"/>
    <s v="Normal"/>
    <s v="Male"/>
    <s v="Home and lifestyle"/>
    <n v="80.08"/>
    <n v="3"/>
    <n v="12.012"/>
    <n v="252.25200000000001"/>
    <d v="2019-11-02T00:00:00"/>
    <d v="1899-12-30T15:29:00"/>
    <s v="Cash"/>
    <n v="240.24"/>
    <n v="4.7619047620000003"/>
    <n v="12.012"/>
    <n v="5.4"/>
    <x v="1"/>
    <n v="4.7619047619047628"/>
    <s v="Average"/>
    <m/>
    <x v="0"/>
  </r>
  <r>
    <x v="974"/>
    <s v="Giza"/>
    <s v="Naypyitaw"/>
    <s v="Normal"/>
    <s v="Male"/>
    <s v="Fashion accessories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  <x v="2"/>
    <n v="4.7619047619047619"/>
    <s v="Average"/>
    <m/>
    <x v="0"/>
  </r>
  <r>
    <x v="975"/>
    <s v="Cairo"/>
    <s v="Mandalay"/>
    <s v="Member"/>
    <s v="Male"/>
    <s v="Fashion accessories"/>
    <n v="49.92"/>
    <n v="2"/>
    <n v="4.992"/>
    <n v="104.83199999999999"/>
    <d v="2019-06-03T00:00:00"/>
    <d v="1899-12-30T11:55:00"/>
    <s v="Credit card"/>
    <n v="99.84"/>
    <n v="4.7619047620000003"/>
    <n v="4.992"/>
    <n v="7"/>
    <x v="2"/>
    <n v="4.7619047619047619"/>
    <s v="Excellent"/>
    <m/>
    <x v="0"/>
  </r>
  <r>
    <x v="976"/>
    <s v="Alex"/>
    <s v="Yangon"/>
    <s v="Normal"/>
    <s v="Female"/>
    <s v="Food and beverages"/>
    <n v="74.66"/>
    <n v="4"/>
    <n v="14.932"/>
    <n v="313.572"/>
    <d v="2019-04-03T00:00:00"/>
    <d v="1899-12-30T10:39:00"/>
    <s v="Cash"/>
    <n v="298.64"/>
    <n v="4.7619047620000003"/>
    <n v="14.932"/>
    <n v="8.5"/>
    <x v="2"/>
    <n v="4.7619047619047628"/>
    <s v="Good"/>
    <m/>
    <x v="0"/>
  </r>
  <r>
    <x v="977"/>
    <s v="Cairo"/>
    <s v="Mandalay"/>
    <s v="Member"/>
    <s v="Male"/>
    <s v="Food and beverages"/>
    <n v="26.6"/>
    <n v="6"/>
    <n v="7.98"/>
    <n v="167.58"/>
    <s v="2/26/2019"/>
    <d v="1899-12-30T15:10:00"/>
    <s v="Ewallet"/>
    <n v="159.6"/>
    <n v="4.7619047620000003"/>
    <n v="7.98"/>
    <n v="4.9000000000000004"/>
    <x v="2"/>
    <n v="4.7619047619047619"/>
    <s v="Excellent"/>
    <m/>
    <x v="0"/>
  </r>
  <r>
    <x v="978"/>
    <s v="Cairo"/>
    <s v="Mandalay"/>
    <s v="Normal"/>
    <s v="Female"/>
    <s v="Electronic accessories"/>
    <n v="25.45"/>
    <n v="1"/>
    <n v="1.2725"/>
    <n v="26.7225"/>
    <d v="2019-10-03T00:00:00"/>
    <d v="1899-12-30T18:10:00"/>
    <s v="Credit card"/>
    <n v="25.45"/>
    <n v="4.7619047620000003"/>
    <n v="1.2725"/>
    <n v="5.0999999999999996"/>
    <x v="2"/>
    <n v="4.7619047619047619"/>
    <s v="Average"/>
    <m/>
    <x v="0"/>
  </r>
  <r>
    <x v="979"/>
    <s v="Cairo"/>
    <s v="Mandalay"/>
    <s v="Normal"/>
    <s v="Female"/>
    <s v="Food and beverages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  <x v="2"/>
    <n v="4.7619047619047619"/>
    <s v="Average"/>
    <m/>
    <x v="0"/>
  </r>
  <r>
    <x v="980"/>
    <s v="Giza"/>
    <s v="Naypyitaw"/>
    <s v="Member"/>
    <s v="Male"/>
    <s v="Food and beverages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  <x v="2"/>
    <n v="4.7619047619047619"/>
    <s v="Good"/>
    <m/>
    <x v="0"/>
  </r>
  <r>
    <x v="981"/>
    <s v="Alex"/>
    <s v="Yangon"/>
    <s v="Normal"/>
    <s v="Male"/>
    <s v="Health and beauty"/>
    <n v="58.15"/>
    <n v="4"/>
    <n v="11.63"/>
    <n v="244.23"/>
    <s v="1/23/2019"/>
    <d v="1899-12-30T17:44:00"/>
    <s v="Cash"/>
    <n v="232.6"/>
    <n v="4.7619047620000003"/>
    <n v="11.63"/>
    <n v="8.4"/>
    <x v="2"/>
    <n v="4.7619047619047619"/>
    <s v="Excellent"/>
    <m/>
    <x v="0"/>
  </r>
  <r>
    <x v="982"/>
    <s v="Alex"/>
    <s v="Yangon"/>
    <s v="Member"/>
    <s v="Female"/>
    <s v="Sports and travel"/>
    <n v="97.48"/>
    <n v="9"/>
    <n v="43.866"/>
    <n v="921.18600000000004"/>
    <s v="3/14/2019"/>
    <d v="1899-12-30T14:19:00"/>
    <s v="Ewallet"/>
    <n v="877.32"/>
    <n v="4.7619047620000003"/>
    <n v="43.866"/>
    <n v="7.4"/>
    <x v="2"/>
    <n v="4.7619047619047628"/>
    <s v="Excellent"/>
    <m/>
    <x v="0"/>
  </r>
  <r>
    <x v="983"/>
    <s v="Giza"/>
    <s v="Naypyitaw"/>
    <s v="Normal"/>
    <s v="Male"/>
    <s v="Health and beauty"/>
    <n v="99.96"/>
    <n v="7"/>
    <n v="34.985999999999997"/>
    <n v="734.70600000000002"/>
    <s v="1/23/2019"/>
    <d v="1899-12-30T10:33:00"/>
    <s v="Cash"/>
    <n v="699.72"/>
    <n v="4.7619047620000003"/>
    <n v="34.985999999999997"/>
    <n v="6.1"/>
    <x v="1"/>
    <n v="4.7619047619047619"/>
    <s v="Good"/>
    <m/>
    <x v="0"/>
  </r>
  <r>
    <x v="984"/>
    <s v="Giza"/>
    <s v="Naypyitaw"/>
    <s v="Normal"/>
    <s v="Male"/>
    <s v="Electronic accessories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  <x v="1"/>
    <n v="4.7619047619047619"/>
    <s v="Good"/>
    <m/>
    <x v="0"/>
  </r>
  <r>
    <x v="985"/>
    <s v="Cairo"/>
    <s v="Mandalay"/>
    <s v="Normal"/>
    <s v="Female"/>
    <s v="Fashion accessories"/>
    <n v="63.71"/>
    <n v="5"/>
    <n v="15.9275"/>
    <n v="334.47750000000002"/>
    <d v="2019-07-02T00:00:00"/>
    <d v="1899-12-30T19:30:00"/>
    <s v="Ewallet"/>
    <n v="318.55"/>
    <n v="4.7619047620000003"/>
    <n v="15.9275"/>
    <n v="8.5"/>
    <x v="1"/>
    <n v="4.7619047619047628"/>
    <s v="Good"/>
    <m/>
    <x v="0"/>
  </r>
  <r>
    <x v="986"/>
    <s v="Cairo"/>
    <s v="Mandalay"/>
    <s v="Normal"/>
    <s v="Female"/>
    <s v="Health and beauty"/>
    <n v="14.76"/>
    <n v="2"/>
    <n v="1.476"/>
    <n v="30.995999999999999"/>
    <s v="2/18/2019"/>
    <d v="1899-12-30T14:42:00"/>
    <s v="Ewallet"/>
    <n v="29.52"/>
    <n v="4.7619047620000003"/>
    <n v="1.476"/>
    <n v="4.3"/>
    <x v="2"/>
    <n v="4.7619047619047619"/>
    <s v="Excellent"/>
    <m/>
    <x v="0"/>
  </r>
  <r>
    <x v="987"/>
    <s v="Cairo"/>
    <s v="Mandalay"/>
    <s v="Member"/>
    <s v="Male"/>
    <s v="Health and beauty"/>
    <n v="62"/>
    <n v="8"/>
    <n v="24.8"/>
    <n v="520.79999999999995"/>
    <d v="2019-03-01T00:00:00"/>
    <d v="1899-12-30T19:08:00"/>
    <s v="Credit card"/>
    <n v="496"/>
    <n v="4.7619047620000003"/>
    <n v="24.8"/>
    <n v="6.2"/>
    <x v="2"/>
    <n v="4.7619047619047628"/>
    <s v="Average"/>
    <m/>
    <x v="0"/>
  </r>
  <r>
    <x v="988"/>
    <s v="Giza"/>
    <s v="Naypyitaw"/>
    <s v="Member"/>
    <s v="Male"/>
    <s v="Electronic accessories"/>
    <n v="82.34"/>
    <n v="10"/>
    <n v="41.17"/>
    <n v="864.57"/>
    <s v="3/29/2019"/>
    <d v="1899-12-30T19:12:00"/>
    <s v="Ewallet"/>
    <n v="823.4"/>
    <n v="4.7619047620000003"/>
    <n v="41.17"/>
    <n v="4.3"/>
    <x v="1"/>
    <n v="4.7619047619047628"/>
    <s v="Good"/>
    <m/>
    <x v="0"/>
  </r>
  <r>
    <x v="989"/>
    <s v="Cairo"/>
    <s v="Mandalay"/>
    <s v="Member"/>
    <s v="Male"/>
    <s v="Health and beauty"/>
    <n v="75.37"/>
    <n v="8"/>
    <n v="30.148"/>
    <n v="633.10799999999995"/>
    <s v="1/28/2019"/>
    <d v="1899-12-30T15:46:00"/>
    <s v="Credit card"/>
    <n v="602.96"/>
    <n v="4.7619047620000003"/>
    <n v="30.148"/>
    <n v="8.4"/>
    <x v="1"/>
    <n v="4.7619047619047619"/>
    <s v="Average"/>
    <m/>
    <x v="0"/>
  </r>
  <r>
    <x v="990"/>
    <s v="Alex"/>
    <s v="Yangon"/>
    <s v="Normal"/>
    <s v="Female"/>
    <s v="Food and beverages"/>
    <n v="56.56"/>
    <n v="5"/>
    <n v="14.14"/>
    <n v="296.94"/>
    <s v="3/22/2019"/>
    <d v="1899-12-30T19:06:00"/>
    <s v="Credit card"/>
    <n v="282.8"/>
    <n v="4.7619047620000003"/>
    <n v="14.14"/>
    <n v="4.5"/>
    <x v="1"/>
    <n v="4.7619047619047628"/>
    <s v="Excellent"/>
    <m/>
    <x v="0"/>
  </r>
  <r>
    <x v="991"/>
    <s v="Cairo"/>
    <s v="Mandalay"/>
    <s v="Normal"/>
    <s v="Female"/>
    <s v="Sports and travel"/>
    <n v="76.599999999999994"/>
    <n v="10"/>
    <n v="38.299999999999997"/>
    <n v="804.3"/>
    <s v="1/24/2019"/>
    <d v="1899-12-30T18:10:00"/>
    <s v="Ewallet"/>
    <n v="766"/>
    <n v="4.7619047620000003"/>
    <n v="38.299999999999997"/>
    <n v="6"/>
    <x v="2"/>
    <n v="4.7619047619047628"/>
    <s v="Average"/>
    <m/>
    <x v="0"/>
  </r>
  <r>
    <x v="992"/>
    <s v="Alex"/>
    <s v="Yangon"/>
    <s v="Normal"/>
    <s v="Male"/>
    <s v="Electronic accessories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  <x v="1"/>
    <n v="4.7619047619047619"/>
    <s v="Good"/>
    <m/>
    <x v="0"/>
  </r>
  <r>
    <x v="993"/>
    <s v="Cairo"/>
    <s v="Mandalay"/>
    <s v="Normal"/>
    <s v="Male"/>
    <s v="Fashion accessories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  <x v="2"/>
    <n v="4.7619047619047619"/>
    <s v="Excellent"/>
    <m/>
    <x v="0"/>
  </r>
  <r>
    <x v="994"/>
    <s v="Giza"/>
    <s v="Naypyitaw"/>
    <s v="Member"/>
    <s v="Female"/>
    <s v="Electronic accessories"/>
    <n v="60.95"/>
    <n v="1"/>
    <n v="3.0474999999999999"/>
    <n v="63.997500000000002"/>
    <s v="2/18/2019"/>
    <d v="1899-12-30T11:40:00"/>
    <s v="Ewallet"/>
    <n v="60.95"/>
    <n v="4.7619047620000003"/>
    <n v="3.0474999999999999"/>
    <n v="5.9"/>
    <x v="2"/>
    <n v="4.761904761904761"/>
    <s v="Good"/>
    <m/>
    <x v="0"/>
  </r>
  <r>
    <x v="995"/>
    <s v="Giza"/>
    <s v="Naypyitaw"/>
    <s v="Normal"/>
    <s v="Male"/>
    <s v="Health and beauty"/>
    <n v="40.35"/>
    <n v="1"/>
    <n v="2.0175000000000001"/>
    <n v="42.3675"/>
    <s v="1/29/2019"/>
    <d v="1899-12-30T13:46:00"/>
    <s v="Ewallet"/>
    <n v="40.35"/>
    <n v="4.7619047620000003"/>
    <n v="2.0175000000000001"/>
    <n v="6.2"/>
    <x v="2"/>
    <n v="4.7619047619047619"/>
    <s v="Average"/>
    <m/>
    <x v="0"/>
  </r>
  <r>
    <x v="996"/>
    <s v="Cairo"/>
    <s v="Mandalay"/>
    <s v="Normal"/>
    <s v="Female"/>
    <s v="Home and lifestyle"/>
    <n v="97.38"/>
    <n v="10"/>
    <n v="48.69"/>
    <n v="1022.49"/>
    <d v="2019-02-03T00:00:00"/>
    <d v="1899-12-30T17:16:00"/>
    <s v="Ewallet"/>
    <n v="973.8"/>
    <n v="4.7619047620000003"/>
    <n v="48.69"/>
    <n v="4.4000000000000004"/>
    <x v="2"/>
    <n v="4.7619047619047628"/>
    <s v="Good"/>
    <m/>
    <x v="0"/>
  </r>
  <r>
    <x v="997"/>
    <s v="Alex"/>
    <s v="Yangon"/>
    <s v="Member"/>
    <s v="Male"/>
    <s v="Food and beverages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  <x v="3"/>
    <n v="4.7619047619047619"/>
    <s v="Average"/>
    <m/>
    <x v="0"/>
  </r>
  <r>
    <x v="998"/>
    <s v="Alex"/>
    <s v="Yangon"/>
    <s v="Normal"/>
    <s v="Male"/>
    <s v="Home and lifestyle"/>
    <n v="65.819999999999993"/>
    <n v="1"/>
    <n v="3.2909999999999999"/>
    <n v="69.111000000000004"/>
    <s v="2/22/2019"/>
    <d v="1899-12-30T15:33:00"/>
    <s v="Cash"/>
    <n v="65.819999999999993"/>
    <n v="4.7619047620000003"/>
    <n v="3.2909999999999999"/>
    <n v="4.0999999999999996"/>
    <x v="2"/>
    <n v="4.7619047619047619"/>
    <s v="Good"/>
    <m/>
    <x v="0"/>
  </r>
  <r>
    <x v="999"/>
    <s v="Alex"/>
    <s v="Yangon"/>
    <s v="Member"/>
    <s v="Female"/>
    <s v="Fashion accessories"/>
    <n v="88.34"/>
    <n v="7"/>
    <n v="30.919"/>
    <n v="649.29899999999998"/>
    <s v="2/18/2019"/>
    <d v="1899-12-30T13:28:00"/>
    <s v="Cash"/>
    <n v="618.38"/>
    <n v="4.7619047620000003"/>
    <n v="30.919"/>
    <n v="6.6"/>
    <x v="2"/>
    <n v="4.7619047619047619"/>
    <s v="Average"/>
    <m/>
    <x v="0"/>
  </r>
  <r>
    <x v="1000"/>
    <m/>
    <m/>
    <m/>
    <m/>
    <m/>
    <m/>
    <m/>
    <m/>
    <m/>
    <m/>
    <m/>
    <m/>
    <m/>
    <m/>
    <m/>
    <m/>
    <x v="0"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59119-811D-4AEB-97E3-1FAB2A472B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7"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472D6-BB0F-4A00-A8CE-E1761378BD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7"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5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88446-3332-464F-8C70-9DE554CC3D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02FBB-B3C3-4A35-B1A4-B1BB158701E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9" baseField="21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CB772-8AA1-48D4-ACF5-D1F88AE7522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2">
    <pivotField dataField="1" showAll="0" countASubtotal="1">
      <items count="1002">
        <item x="162"/>
        <item x="867"/>
        <item x="778"/>
        <item x="776"/>
        <item x="683"/>
        <item x="169"/>
        <item x="56"/>
        <item x="67"/>
        <item x="824"/>
        <item x="400"/>
        <item x="255"/>
        <item x="891"/>
        <item x="881"/>
        <item x="352"/>
        <item x="905"/>
        <item x="59"/>
        <item x="775"/>
        <item x="366"/>
        <item x="3"/>
        <item x="597"/>
        <item x="864"/>
        <item x="849"/>
        <item x="272"/>
        <item x="585"/>
        <item x="36"/>
        <item x="679"/>
        <item x="180"/>
        <item x="643"/>
        <item x="938"/>
        <item x="412"/>
        <item x="45"/>
        <item x="523"/>
        <item x="654"/>
        <item x="562"/>
        <item x="554"/>
        <item x="625"/>
        <item x="345"/>
        <item x="280"/>
        <item x="737"/>
        <item x="888"/>
        <item x="442"/>
        <item x="290"/>
        <item x="982"/>
        <item x="177"/>
        <item x="212"/>
        <item x="242"/>
        <item x="268"/>
        <item x="28"/>
        <item x="899"/>
        <item x="983"/>
        <item x="493"/>
        <item x="725"/>
        <item x="653"/>
        <item x="630"/>
        <item x="31"/>
        <item x="344"/>
        <item x="258"/>
        <item x="911"/>
        <item x="979"/>
        <item x="862"/>
        <item x="93"/>
        <item x="596"/>
        <item x="383"/>
        <item x="264"/>
        <item x="875"/>
        <item x="641"/>
        <item x="978"/>
        <item x="759"/>
        <item x="234"/>
        <item x="854"/>
        <item x="51"/>
        <item x="707"/>
        <item x="100"/>
        <item x="873"/>
        <item x="655"/>
        <item x="965"/>
        <item x="542"/>
        <item x="688"/>
        <item x="391"/>
        <item x="315"/>
        <item x="727"/>
        <item x="560"/>
        <item x="176"/>
        <item x="701"/>
        <item x="865"/>
        <item x="921"/>
        <item x="311"/>
        <item x="696"/>
        <item x="379"/>
        <item x="634"/>
        <item x="712"/>
        <item x="34"/>
        <item x="417"/>
        <item x="821"/>
        <item x="908"/>
        <item x="705"/>
        <item x="454"/>
        <item x="635"/>
        <item x="127"/>
        <item x="27"/>
        <item x="984"/>
        <item x="513"/>
        <item x="809"/>
        <item x="101"/>
        <item x="667"/>
        <item x="819"/>
        <item x="130"/>
        <item x="702"/>
        <item x="443"/>
        <item x="967"/>
        <item x="693"/>
        <item x="738"/>
        <item x="556"/>
        <item x="425"/>
        <item x="63"/>
        <item x="774"/>
        <item x="954"/>
        <item x="772"/>
        <item x="370"/>
        <item x="579"/>
        <item x="511"/>
        <item x="750"/>
        <item x="552"/>
        <item x="111"/>
        <item x="728"/>
        <item x="295"/>
        <item x="236"/>
        <item x="103"/>
        <item x="549"/>
        <item x="224"/>
        <item x="153"/>
        <item x="969"/>
        <item x="243"/>
        <item x="559"/>
        <item x="122"/>
        <item x="600"/>
        <item x="518"/>
        <item x="805"/>
        <item x="976"/>
        <item x="826"/>
        <item x="91"/>
        <item x="115"/>
        <item x="1"/>
        <item x="925"/>
        <item x="287"/>
        <item x="25"/>
        <item x="314"/>
        <item x="589"/>
        <item x="112"/>
        <item x="43"/>
        <item x="68"/>
        <item x="35"/>
        <item x="469"/>
        <item x="995"/>
        <item x="461"/>
        <item x="858"/>
        <item x="166"/>
        <item x="935"/>
        <item x="446"/>
        <item x="533"/>
        <item x="402"/>
        <item x="114"/>
        <item x="830"/>
        <item x="734"/>
        <item x="149"/>
        <item x="144"/>
        <item x="220"/>
        <item x="572"/>
        <item x="568"/>
        <item x="138"/>
        <item x="685"/>
        <item x="675"/>
        <item x="54"/>
        <item x="543"/>
        <item x="932"/>
        <item x="410"/>
        <item x="481"/>
        <item x="920"/>
        <item x="730"/>
        <item x="170"/>
        <item x="758"/>
        <item x="656"/>
        <item x="13"/>
        <item x="265"/>
        <item x="369"/>
        <item x="408"/>
        <item x="960"/>
        <item x="807"/>
        <item x="436"/>
        <item x="598"/>
        <item x="715"/>
        <item x="371"/>
        <item x="148"/>
        <item x="76"/>
        <item x="793"/>
        <item x="207"/>
        <item x="691"/>
        <item x="420"/>
        <item x="988"/>
        <item x="415"/>
        <item x="713"/>
        <item x="124"/>
        <item x="233"/>
        <item x="426"/>
        <item x="839"/>
        <item x="422"/>
        <item x="364"/>
        <item x="37"/>
        <item x="22"/>
        <item x="644"/>
        <item x="677"/>
        <item x="161"/>
        <item x="325"/>
        <item x="823"/>
        <item x="611"/>
        <item x="500"/>
        <item x="586"/>
        <item x="292"/>
        <item x="223"/>
        <item x="156"/>
        <item x="141"/>
        <item x="40"/>
        <item x="503"/>
        <item x="557"/>
        <item x="288"/>
        <item x="190"/>
        <item x="613"/>
        <item x="60"/>
        <item x="306"/>
        <item x="192"/>
        <item x="526"/>
        <item x="430"/>
        <item x="74"/>
        <item x="530"/>
        <item x="754"/>
        <item x="836"/>
        <item x="380"/>
        <item x="230"/>
        <item x="253"/>
        <item x="508"/>
        <item x="116"/>
        <item x="883"/>
        <item x="841"/>
        <item x="448"/>
        <item x="729"/>
        <item x="15"/>
        <item x="20"/>
        <item x="444"/>
        <item x="423"/>
        <item x="590"/>
        <item x="996"/>
        <item x="689"/>
        <item x="186"/>
        <item x="483"/>
        <item x="951"/>
        <item x="782"/>
        <item x="298"/>
        <item x="157"/>
        <item x="629"/>
        <item x="393"/>
        <item x="538"/>
        <item x="882"/>
        <item x="910"/>
        <item x="749"/>
        <item x="7"/>
        <item x="396"/>
        <item x="171"/>
        <item x="859"/>
        <item x="293"/>
        <item x="608"/>
        <item x="89"/>
        <item x="637"/>
        <item x="19"/>
        <item x="217"/>
        <item x="463"/>
        <item x="354"/>
        <item x="681"/>
        <item x="926"/>
        <item x="660"/>
        <item x="801"/>
        <item x="961"/>
        <item x="429"/>
        <item x="886"/>
        <item x="458"/>
        <item x="462"/>
        <item x="50"/>
        <item x="616"/>
        <item x="18"/>
        <item x="944"/>
        <item x="38"/>
        <item x="599"/>
        <item x="123"/>
        <item x="142"/>
        <item x="536"/>
        <item x="582"/>
        <item x="527"/>
        <item x="575"/>
        <item x="471"/>
        <item x="329"/>
        <item x="179"/>
        <item x="571"/>
        <item x="832"/>
        <item x="541"/>
        <item x="437"/>
        <item x="744"/>
        <item x="399"/>
        <item x="238"/>
        <item x="62"/>
        <item x="998"/>
        <item x="510"/>
        <item x="609"/>
        <item x="10"/>
        <item x="42"/>
        <item x="137"/>
        <item x="573"/>
        <item x="6"/>
        <item x="555"/>
        <item x="539"/>
        <item x="583"/>
        <item x="798"/>
        <item x="84"/>
        <item x="866"/>
        <item x="937"/>
        <item x="86"/>
        <item x="638"/>
        <item x="963"/>
        <item x="949"/>
        <item x="12"/>
        <item x="820"/>
        <item x="256"/>
        <item x="650"/>
        <item x="46"/>
        <item x="682"/>
        <item x="21"/>
        <item x="409"/>
        <item x="694"/>
        <item x="322"/>
        <item x="602"/>
        <item x="742"/>
        <item x="4"/>
        <item x="948"/>
        <item x="339"/>
        <item x="985"/>
        <item x="584"/>
        <item x="244"/>
        <item x="277"/>
        <item x="900"/>
        <item x="340"/>
        <item x="119"/>
        <item x="588"/>
        <item x="811"/>
        <item x="259"/>
        <item x="77"/>
        <item x="69"/>
        <item x="373"/>
        <item x="959"/>
        <item x="736"/>
        <item x="506"/>
        <item x="767"/>
        <item x="222"/>
        <item x="890"/>
        <item x="745"/>
        <item x="580"/>
        <item x="445"/>
        <item x="70"/>
        <item x="441"/>
        <item x="388"/>
        <item x="204"/>
        <item x="690"/>
        <item x="304"/>
        <item x="927"/>
        <item x="55"/>
        <item x="553"/>
        <item x="349"/>
        <item x="188"/>
        <item x="791"/>
        <item x="154"/>
        <item x="799"/>
        <item x="498"/>
        <item x="785"/>
        <item x="472"/>
        <item x="757"/>
        <item x="178"/>
        <item x="569"/>
        <item x="668"/>
        <item x="851"/>
        <item x="897"/>
        <item x="762"/>
        <item x="305"/>
        <item x="515"/>
        <item x="174"/>
        <item x="343"/>
        <item x="829"/>
        <item x="232"/>
        <item x="720"/>
        <item x="633"/>
        <item x="199"/>
        <item x="499"/>
        <item x="620"/>
        <item x="610"/>
        <item x="374"/>
        <item x="159"/>
        <item x="313"/>
        <item x="163"/>
        <item x="516"/>
        <item x="202"/>
        <item x="834"/>
        <item x="316"/>
        <item x="957"/>
        <item x="989"/>
        <item x="289"/>
        <item x="928"/>
        <item x="936"/>
        <item x="341"/>
        <item x="724"/>
        <item x="181"/>
        <item x="531"/>
        <item x="621"/>
        <item x="494"/>
        <item x="191"/>
        <item x="485"/>
        <item x="733"/>
        <item x="303"/>
        <item x="466"/>
        <item x="346"/>
        <item x="726"/>
        <item x="333"/>
        <item x="614"/>
        <item x="796"/>
        <item x="581"/>
        <item x="709"/>
        <item x="300"/>
        <item x="263"/>
        <item x="971"/>
        <item x="878"/>
        <item x="241"/>
        <item x="943"/>
        <item x="449"/>
        <item x="440"/>
        <item x="906"/>
        <item x="521"/>
        <item x="741"/>
        <item x="972"/>
        <item x="447"/>
        <item x="912"/>
        <item x="358"/>
        <item x="924"/>
        <item x="746"/>
        <item x="779"/>
        <item x="933"/>
        <item x="145"/>
        <item x="576"/>
        <item x="914"/>
        <item x="432"/>
        <item x="540"/>
        <item x="885"/>
        <item x="363"/>
        <item x="381"/>
        <item x="228"/>
        <item x="221"/>
        <item x="367"/>
        <item x="783"/>
        <item x="595"/>
        <item x="464"/>
        <item x="773"/>
        <item x="362"/>
        <item x="414"/>
        <item x="802"/>
        <item x="274"/>
        <item x="816"/>
        <item x="239"/>
        <item x="110"/>
        <item x="82"/>
        <item x="717"/>
        <item x="134"/>
        <item x="604"/>
        <item x="476"/>
        <item x="748"/>
        <item x="143"/>
        <item x="424"/>
        <item x="945"/>
        <item x="282"/>
        <item x="880"/>
        <item x="659"/>
        <item x="484"/>
        <item x="840"/>
        <item x="789"/>
        <item x="285"/>
        <item x="815"/>
        <item x="939"/>
        <item x="934"/>
        <item x="475"/>
        <item x="514"/>
        <item x="950"/>
        <item x="88"/>
        <item x="165"/>
        <item x="901"/>
        <item x="615"/>
        <item x="491"/>
        <item x="684"/>
        <item x="72"/>
        <item x="504"/>
        <item x="94"/>
        <item x="308"/>
        <item x="564"/>
        <item x="784"/>
        <item x="665"/>
        <item x="977"/>
        <item x="517"/>
        <item x="913"/>
        <item x="281"/>
        <item x="761"/>
        <item x="385"/>
        <item x="276"/>
        <item x="335"/>
        <item x="833"/>
        <item x="680"/>
        <item x="11"/>
        <item x="245"/>
        <item x="973"/>
        <item x="348"/>
        <item x="310"/>
        <item x="457"/>
        <item x="863"/>
        <item x="524"/>
        <item x="781"/>
        <item x="278"/>
        <item x="828"/>
        <item x="548"/>
        <item x="240"/>
        <item x="480"/>
        <item x="547"/>
        <item x="390"/>
        <item x="201"/>
        <item x="607"/>
        <item x="872"/>
        <item x="904"/>
        <item x="231"/>
        <item x="743"/>
        <item x="164"/>
        <item x="884"/>
        <item x="218"/>
        <item x="843"/>
        <item x="24"/>
        <item x="129"/>
        <item x="438"/>
        <item x="574"/>
        <item x="102"/>
        <item x="987"/>
        <item x="357"/>
        <item x="467"/>
        <item x="41"/>
        <item x="673"/>
        <item x="488"/>
        <item x="195"/>
        <item x="496"/>
        <item x="966"/>
        <item x="291"/>
        <item x="808"/>
        <item x="606"/>
        <item x="216"/>
        <item x="592"/>
        <item x="657"/>
        <item x="392"/>
        <item x="651"/>
        <item x="323"/>
        <item x="284"/>
        <item x="353"/>
        <item x="90"/>
        <item x="810"/>
        <item x="275"/>
        <item x="332"/>
        <item x="453"/>
        <item x="147"/>
        <item x="411"/>
        <item x="825"/>
        <item x="267"/>
        <item x="301"/>
        <item x="208"/>
        <item x="501"/>
        <item x="49"/>
        <item x="647"/>
        <item x="431"/>
        <item x="952"/>
        <item x="139"/>
        <item x="479"/>
        <item x="672"/>
        <item x="956"/>
        <item x="359"/>
        <item x="551"/>
        <item x="535"/>
        <item x="227"/>
        <item x="871"/>
        <item x="151"/>
        <item x="294"/>
        <item x="594"/>
        <item x="751"/>
        <item x="846"/>
        <item x="184"/>
        <item x="404"/>
        <item x="763"/>
        <item x="108"/>
        <item x="670"/>
        <item x="632"/>
        <item x="133"/>
        <item x="577"/>
        <item x="723"/>
        <item x="962"/>
        <item x="765"/>
        <item x="189"/>
        <item x="286"/>
        <item x="95"/>
        <item x="33"/>
        <item x="512"/>
        <item x="378"/>
        <item x="902"/>
        <item x="389"/>
        <item x="135"/>
        <item x="624"/>
        <item x="477"/>
        <item x="519"/>
        <item x="991"/>
        <item x="509"/>
        <item x="317"/>
        <item x="247"/>
        <item x="968"/>
        <item x="361"/>
        <item x="795"/>
        <item x="200"/>
        <item x="735"/>
        <item x="892"/>
        <item x="492"/>
        <item x="877"/>
        <item x="173"/>
        <item x="150"/>
        <item x="522"/>
        <item x="636"/>
        <item x="360"/>
        <item x="368"/>
        <item x="52"/>
        <item x="433"/>
        <item x="44"/>
        <item x="806"/>
        <item x="502"/>
        <item x="321"/>
        <item x="909"/>
        <item x="700"/>
        <item x="489"/>
        <item x="106"/>
        <item x="627"/>
        <item x="780"/>
        <item x="107"/>
        <item x="868"/>
        <item x="2"/>
        <item x="495"/>
        <item x="356"/>
        <item x="338"/>
        <item x="87"/>
        <item x="273"/>
        <item x="331"/>
        <item x="731"/>
        <item x="57"/>
        <item x="831"/>
        <item x="23"/>
        <item x="919"/>
        <item x="120"/>
        <item x="460"/>
        <item x="704"/>
        <item x="32"/>
        <item x="193"/>
        <item x="663"/>
        <item x="930"/>
        <item x="619"/>
        <item x="603"/>
        <item x="118"/>
        <item x="671"/>
        <item x="537"/>
        <item x="113"/>
        <item x="235"/>
        <item x="546"/>
        <item x="687"/>
        <item x="678"/>
        <item x="320"/>
        <item x="26"/>
        <item x="427"/>
        <item x="401"/>
        <item x="567"/>
        <item x="790"/>
        <item x="755"/>
        <item x="994"/>
        <item x="631"/>
        <item x="262"/>
        <item x="213"/>
        <item x="16"/>
        <item x="852"/>
        <item x="121"/>
        <item x="117"/>
        <item x="838"/>
        <item x="251"/>
        <item x="384"/>
        <item x="128"/>
        <item x="747"/>
        <item x="8"/>
        <item x="639"/>
        <item x="375"/>
        <item x="283"/>
        <item x="125"/>
        <item x="48"/>
        <item x="837"/>
        <item x="622"/>
        <item x="206"/>
        <item x="482"/>
        <item x="813"/>
        <item x="947"/>
        <item x="474"/>
        <item x="211"/>
        <item x="721"/>
        <item x="669"/>
        <item x="146"/>
        <item x="490"/>
        <item x="271"/>
        <item x="167"/>
        <item x="692"/>
        <item x="386"/>
        <item x="993"/>
        <item x="337"/>
        <item x="9"/>
        <item x="640"/>
        <item x="587"/>
        <item x="132"/>
        <item x="413"/>
        <item x="565"/>
        <item x="198"/>
        <item x="5"/>
        <item x="895"/>
        <item x="136"/>
        <item x="545"/>
        <item x="478"/>
        <item x="794"/>
        <item x="941"/>
        <item x="788"/>
        <item x="254"/>
        <item x="318"/>
        <item x="105"/>
        <item x="645"/>
        <item x="770"/>
        <item x="486"/>
        <item x="456"/>
        <item x="768"/>
        <item x="558"/>
        <item x="664"/>
        <item x="893"/>
        <item x="104"/>
        <item x="915"/>
        <item x="566"/>
        <item x="327"/>
        <item x="525"/>
        <item x="940"/>
        <item x="229"/>
        <item x="916"/>
        <item x="407"/>
        <item x="898"/>
        <item x="387"/>
        <item x="662"/>
        <item x="347"/>
        <item x="395"/>
        <item x="505"/>
        <item x="997"/>
        <item x="452"/>
        <item x="47"/>
        <item x="296"/>
        <item x="980"/>
        <item x="711"/>
        <item x="703"/>
        <item x="257"/>
        <item x="459"/>
        <item x="85"/>
        <item x="328"/>
        <item x="372"/>
        <item x="269"/>
        <item x="473"/>
        <item x="140"/>
        <item x="187"/>
        <item x="406"/>
        <item x="75"/>
        <item x="99"/>
        <item x="740"/>
        <item x="172"/>
        <item x="520"/>
        <item x="302"/>
        <item x="714"/>
        <item x="874"/>
        <item x="649"/>
        <item x="421"/>
        <item x="428"/>
        <item x="652"/>
        <item x="158"/>
        <item x="377"/>
        <item x="297"/>
        <item x="451"/>
        <item x="792"/>
        <item x="974"/>
        <item x="419"/>
        <item x="992"/>
        <item x="970"/>
        <item x="468"/>
        <item x="324"/>
        <item x="225"/>
        <item x="152"/>
        <item x="550"/>
        <item x="857"/>
        <item x="205"/>
        <item x="917"/>
        <item x="416"/>
        <item x="0"/>
        <item x="800"/>
        <item x="699"/>
        <item x="435"/>
        <item x="676"/>
        <item x="237"/>
        <item x="79"/>
        <item x="732"/>
        <item x="931"/>
        <item x="803"/>
        <item x="771"/>
        <item x="708"/>
        <item x="827"/>
        <item x="397"/>
        <item x="563"/>
        <item x="879"/>
        <item x="986"/>
        <item x="17"/>
        <item x="96"/>
        <item x="470"/>
        <item x="455"/>
        <item x="686"/>
        <item x="856"/>
        <item x="753"/>
        <item x="722"/>
        <item x="918"/>
        <item x="39"/>
        <item x="814"/>
        <item x="53"/>
        <item x="646"/>
        <item x="299"/>
        <item x="666"/>
        <item x="896"/>
        <item x="155"/>
        <item x="270"/>
        <item x="953"/>
        <item x="822"/>
        <item x="249"/>
        <item x="756"/>
        <item x="710"/>
        <item x="319"/>
        <item x="83"/>
        <item x="764"/>
        <item x="591"/>
        <item x="718"/>
        <item x="612"/>
        <item x="219"/>
        <item x="787"/>
        <item x="398"/>
        <item x="642"/>
        <item x="964"/>
        <item x="487"/>
        <item x="71"/>
        <item x="168"/>
        <item x="578"/>
        <item x="248"/>
        <item x="695"/>
        <item x="766"/>
        <item x="215"/>
        <item x="131"/>
        <item x="307"/>
        <item x="61"/>
        <item x="845"/>
        <item x="739"/>
        <item x="752"/>
        <item x="835"/>
        <item x="266"/>
        <item x="981"/>
        <item x="942"/>
        <item x="439"/>
        <item x="674"/>
        <item x="894"/>
        <item x="812"/>
        <item x="326"/>
        <item x="626"/>
        <item x="658"/>
        <item x="58"/>
        <item x="209"/>
        <item x="261"/>
        <item x="719"/>
        <item x="183"/>
        <item x="929"/>
        <item x="697"/>
        <item x="175"/>
        <item x="528"/>
        <item x="529"/>
        <item x="618"/>
        <item x="279"/>
        <item x="14"/>
        <item x="78"/>
        <item x="605"/>
        <item x="194"/>
        <item x="403"/>
        <item x="804"/>
        <item x="817"/>
        <item x="365"/>
        <item x="706"/>
        <item x="351"/>
        <item x="570"/>
        <item x="334"/>
        <item x="226"/>
        <item x="434"/>
        <item x="922"/>
        <item x="66"/>
        <item x="617"/>
        <item x="861"/>
        <item x="544"/>
        <item x="73"/>
        <item x="661"/>
        <item x="760"/>
        <item x="376"/>
        <item x="850"/>
        <item x="250"/>
        <item x="848"/>
        <item x="955"/>
        <item x="81"/>
        <item x="418"/>
        <item x="196"/>
        <item x="309"/>
        <item x="29"/>
        <item x="860"/>
        <item x="999"/>
        <item x="260"/>
        <item x="182"/>
        <item x="907"/>
        <item x="623"/>
        <item x="869"/>
        <item x="64"/>
        <item x="197"/>
        <item x="628"/>
        <item x="716"/>
        <item x="532"/>
        <item x="648"/>
        <item x="946"/>
        <item x="842"/>
        <item x="350"/>
        <item x="109"/>
        <item x="507"/>
        <item x="847"/>
        <item x="497"/>
        <item x="797"/>
        <item x="903"/>
        <item x="98"/>
        <item x="246"/>
        <item x="853"/>
        <item x="561"/>
        <item x="958"/>
        <item x="698"/>
        <item x="382"/>
        <item x="330"/>
        <item x="818"/>
        <item x="126"/>
        <item x="80"/>
        <item x="312"/>
        <item x="97"/>
        <item x="30"/>
        <item x="870"/>
        <item x="92"/>
        <item x="342"/>
        <item x="777"/>
        <item x="203"/>
        <item x="65"/>
        <item x="465"/>
        <item x="593"/>
        <item x="889"/>
        <item x="601"/>
        <item x="405"/>
        <item x="252"/>
        <item x="975"/>
        <item x="887"/>
        <item x="394"/>
        <item x="876"/>
        <item x="990"/>
        <item x="769"/>
        <item x="786"/>
        <item x="923"/>
        <item x="210"/>
        <item x="355"/>
        <item x="450"/>
        <item x="214"/>
        <item x="534"/>
        <item x="160"/>
        <item x="855"/>
        <item x="185"/>
        <item x="844"/>
        <item x="336"/>
        <item x="1000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nvoice ID" fld="0" subtotal="count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4C83-588B-4836-9D7A-D66B3FCC7E96}">
  <dimension ref="A3:B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1092</v>
      </c>
      <c r="B3" t="s">
        <v>1095</v>
      </c>
    </row>
    <row r="4" spans="1:2" x14ac:dyDescent="0.3">
      <c r="A4" s="4" t="s">
        <v>18</v>
      </c>
      <c r="B4">
        <v>106200.37050000011</v>
      </c>
    </row>
    <row r="5" spans="1:2" x14ac:dyDescent="0.3">
      <c r="A5" s="4" t="s">
        <v>45</v>
      </c>
      <c r="B5">
        <v>106197.67199999996</v>
      </c>
    </row>
    <row r="6" spans="1:2" x14ac:dyDescent="0.3">
      <c r="A6" s="4" t="s">
        <v>25</v>
      </c>
      <c r="B6">
        <v>110568.70649999994</v>
      </c>
    </row>
    <row r="7" spans="1:2" x14ac:dyDescent="0.3">
      <c r="A7" s="4" t="s">
        <v>1094</v>
      </c>
      <c r="B7">
        <v>322966.74900000001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02C4-94FE-477D-AABC-E0B0A13B49CA}">
  <dimension ref="A3:B11"/>
  <sheetViews>
    <sheetView workbookViewId="0">
      <selection activeCell="B7" sqref="B7"/>
    </sheetView>
  </sheetViews>
  <sheetFormatPr defaultRowHeight="14.4" x14ac:dyDescent="0.3"/>
  <cols>
    <col min="1" max="1" width="19.109375" bestFit="1" customWidth="1"/>
    <col min="2" max="2" width="11.6640625" bestFit="1" customWidth="1"/>
  </cols>
  <sheetData>
    <row r="3" spans="1:2" x14ac:dyDescent="0.3">
      <c r="A3" s="3" t="s">
        <v>1092</v>
      </c>
      <c r="B3" t="s">
        <v>1095</v>
      </c>
    </row>
    <row r="4" spans="1:2" x14ac:dyDescent="0.3">
      <c r="A4" s="4" t="s">
        <v>28</v>
      </c>
      <c r="B4">
        <v>54337.531500000005</v>
      </c>
    </row>
    <row r="5" spans="1:2" x14ac:dyDescent="0.3">
      <c r="A5" s="4" t="s">
        <v>50</v>
      </c>
      <c r="B5">
        <v>54305.894999999997</v>
      </c>
    </row>
    <row r="6" spans="1:2" x14ac:dyDescent="0.3">
      <c r="A6" s="4" t="s">
        <v>47</v>
      </c>
      <c r="B6">
        <v>56144.844000000005</v>
      </c>
    </row>
    <row r="7" spans="1:2" x14ac:dyDescent="0.3">
      <c r="A7" s="4" t="s">
        <v>22</v>
      </c>
      <c r="B7">
        <v>49193.739000000016</v>
      </c>
    </row>
    <row r="8" spans="1:2" x14ac:dyDescent="0.3">
      <c r="A8" s="4" t="s">
        <v>31</v>
      </c>
      <c r="B8">
        <v>53861.913000000008</v>
      </c>
    </row>
    <row r="9" spans="1:2" x14ac:dyDescent="0.3">
      <c r="A9" s="4" t="s">
        <v>36</v>
      </c>
      <c r="B9">
        <v>55122.826499999996</v>
      </c>
    </row>
    <row r="10" spans="1:2" x14ac:dyDescent="0.3">
      <c r="A10" s="4" t="s">
        <v>1093</v>
      </c>
    </row>
    <row r="11" spans="1:2" x14ac:dyDescent="0.3">
      <c r="A11" s="4" t="s">
        <v>1094</v>
      </c>
      <c r="B11">
        <v>322966.74900000007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3E7F-F0A5-4E00-B1DB-1A475D9CFCD4}">
  <dimension ref="A3:B10"/>
  <sheetViews>
    <sheetView workbookViewId="0">
      <selection activeCell="B8" sqref="B8"/>
    </sheetView>
  </sheetViews>
  <sheetFormatPr defaultRowHeight="14.4" x14ac:dyDescent="0.3"/>
  <cols>
    <col min="1" max="1" width="19.109375" bestFit="1" customWidth="1"/>
    <col min="2" max="2" width="16" bestFit="1" customWidth="1"/>
  </cols>
  <sheetData>
    <row r="3" spans="1:2" x14ac:dyDescent="0.3">
      <c r="A3" s="3" t="s">
        <v>1092</v>
      </c>
      <c r="B3" t="s">
        <v>1096</v>
      </c>
    </row>
    <row r="4" spans="1:2" x14ac:dyDescent="0.3">
      <c r="A4" s="4" t="s">
        <v>28</v>
      </c>
      <c r="B4">
        <v>6.9247058823529404</v>
      </c>
    </row>
    <row r="5" spans="1:2" x14ac:dyDescent="0.3">
      <c r="A5" s="4" t="s">
        <v>50</v>
      </c>
      <c r="B5">
        <v>7.0292134831460666</v>
      </c>
    </row>
    <row r="6" spans="1:2" x14ac:dyDescent="0.3">
      <c r="A6" s="4" t="s">
        <v>47</v>
      </c>
      <c r="B6">
        <v>7.1132183908045983</v>
      </c>
    </row>
    <row r="7" spans="1:2" x14ac:dyDescent="0.3">
      <c r="A7" s="4" t="s">
        <v>22</v>
      </c>
      <c r="B7">
        <v>7.0032894736842124</v>
      </c>
    </row>
    <row r="8" spans="1:2" x14ac:dyDescent="0.3">
      <c r="A8" s="4" t="s">
        <v>31</v>
      </c>
      <c r="B8">
        <v>6.8375000000000004</v>
      </c>
    </row>
    <row r="9" spans="1:2" x14ac:dyDescent="0.3">
      <c r="A9" s="4" t="s">
        <v>36</v>
      </c>
      <c r="B9">
        <v>6.9162650602409643</v>
      </c>
    </row>
    <row r="10" spans="1:2" x14ac:dyDescent="0.3">
      <c r="A10" s="4" t="s">
        <v>1094</v>
      </c>
      <c r="B10">
        <v>6.972699999999997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EB97-BA4B-44F0-9F35-436BCA1553A7}">
  <dimension ref="A3:B10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1092</v>
      </c>
      <c r="B3" t="s">
        <v>1095</v>
      </c>
    </row>
    <row r="4" spans="1:2" x14ac:dyDescent="0.3">
      <c r="A4" s="4" t="s">
        <v>1102</v>
      </c>
      <c r="B4">
        <v>26515.156499999997</v>
      </c>
    </row>
    <row r="5" spans="1:2" x14ac:dyDescent="0.3">
      <c r="A5" s="4" t="s">
        <v>236</v>
      </c>
      <c r="B5">
        <v>918.72900000000004</v>
      </c>
    </row>
    <row r="6" spans="1:2" x14ac:dyDescent="0.3">
      <c r="A6" s="4" t="s">
        <v>1103</v>
      </c>
      <c r="B6">
        <v>21993.205500000007</v>
      </c>
    </row>
    <row r="7" spans="1:2" x14ac:dyDescent="0.3">
      <c r="A7" s="4" t="s">
        <v>1104</v>
      </c>
      <c r="B7">
        <v>12126.135</v>
      </c>
    </row>
    <row r="8" spans="1:2" x14ac:dyDescent="0.3">
      <c r="A8" s="4" t="s">
        <v>241</v>
      </c>
      <c r="B8">
        <v>336.55650000000003</v>
      </c>
    </row>
    <row r="9" spans="1:2" x14ac:dyDescent="0.3">
      <c r="A9" s="4" t="s">
        <v>1093</v>
      </c>
      <c r="B9">
        <v>261076.96649999989</v>
      </c>
    </row>
    <row r="10" spans="1:2" x14ac:dyDescent="0.3">
      <c r="A10" s="4" t="s">
        <v>1094</v>
      </c>
      <c r="B10">
        <v>322966.74899999989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AE36-BD15-45BC-8C16-7E9B1F98619C}">
  <dimension ref="A3:B8"/>
  <sheetViews>
    <sheetView workbookViewId="0">
      <selection activeCell="Q28" sqref="Q28"/>
    </sheetView>
  </sheetViews>
  <sheetFormatPr defaultRowHeight="14.4" x14ac:dyDescent="0.3"/>
  <cols>
    <col min="1" max="1" width="12.5546875" bestFit="1" customWidth="1"/>
    <col min="2" max="2" width="17.33203125" bestFit="1" customWidth="1"/>
  </cols>
  <sheetData>
    <row r="3" spans="1:2" x14ac:dyDescent="0.3">
      <c r="A3" s="3" t="s">
        <v>1092</v>
      </c>
      <c r="B3" t="s">
        <v>1108</v>
      </c>
    </row>
    <row r="4" spans="1:2" x14ac:dyDescent="0.3">
      <c r="A4" s="4" t="s">
        <v>1105</v>
      </c>
      <c r="B4">
        <v>9</v>
      </c>
    </row>
    <row r="5" spans="1:2" x14ac:dyDescent="0.3">
      <c r="A5" s="4" t="s">
        <v>1106</v>
      </c>
      <c r="B5">
        <v>773</v>
      </c>
    </row>
    <row r="6" spans="1:2" x14ac:dyDescent="0.3">
      <c r="A6" s="4" t="s">
        <v>1107</v>
      </c>
      <c r="B6">
        <v>217</v>
      </c>
    </row>
    <row r="7" spans="1:2" x14ac:dyDescent="0.3">
      <c r="A7" s="4" t="s">
        <v>1093</v>
      </c>
      <c r="B7">
        <v>1</v>
      </c>
    </row>
    <row r="8" spans="1:2" x14ac:dyDescent="0.3">
      <c r="A8" s="4" t="s">
        <v>1094</v>
      </c>
      <c r="B8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EBF4-39F6-433D-ACE0-B87D1F69671D}">
  <dimension ref="A1:Z1001"/>
  <sheetViews>
    <sheetView topLeftCell="S143" zoomScale="61" zoomScaleNormal="100" workbookViewId="0">
      <selection activeCell="X161" sqref="X161:Z167"/>
    </sheetView>
  </sheetViews>
  <sheetFormatPr defaultRowHeight="14.4" x14ac:dyDescent="0.3"/>
  <cols>
    <col min="11" max="11" width="15" customWidth="1"/>
    <col min="12" max="12" width="19" customWidth="1"/>
    <col min="18" max="18" width="15.33203125" customWidth="1"/>
    <col min="19" max="19" width="14.109375" customWidth="1"/>
    <col min="20" max="20" width="19.33203125" customWidth="1"/>
    <col min="21" max="21" width="21.6640625" style="8" customWidth="1"/>
    <col min="22" max="22" width="10.77734375" customWidth="1"/>
    <col min="25" max="25" width="12.109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1097</v>
      </c>
      <c r="S1" t="s">
        <v>1098</v>
      </c>
      <c r="T1" t="s">
        <v>1099</v>
      </c>
      <c r="U1" s="8" t="s">
        <v>1100</v>
      </c>
      <c r="V1" t="s">
        <v>1101</v>
      </c>
    </row>
    <row r="2" spans="1:22" ht="16.2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  <c r="R2" s="6"/>
    </row>
    <row r="3" spans="1:22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R3" s="5" t="str">
        <f>IF(J2&gt;=1000,"High Sale",IF(J2&gt;=500,"Medium Sale","Low Sale"))</f>
        <v>Medium Sale</v>
      </c>
      <c r="S3" s="7">
        <f>(P2/J2)*100</f>
        <v>4.7619047619047628</v>
      </c>
      <c r="T3" s="7" t="str" cm="1">
        <f t="array" ref="T3">_xlfn.IFS(Q2&gt;=8,"Excellent",Q2&gt;=6,"Good",Q2&gt;=4,"Average",TRUE,"Poor")</f>
        <v>Excellent</v>
      </c>
      <c r="U3" s="9">
        <f>J2/SUM($J$2:$J$1001)</f>
        <v>1.699777149504638E-3</v>
      </c>
      <c r="V3" s="7" t="str" cm="1">
        <f t="array" ref="V3">_xlfn.IFS(HOUR(L2)&lt;12,"Morning",HOUR(L2)&lt;17,"Afternoon",HOUR(L2)&lt;21,"Evening",TRUE,"Night")</f>
        <v>Afternoon</v>
      </c>
    </row>
    <row r="4" spans="1:22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  <c r="R4" s="5" t="str">
        <f t="shared" ref="R4:R67" si="0">IF(J3&gt;=1000,"High Sale",IF(J3&gt;=500,"Medium Sale","Low Sale"))</f>
        <v>Low Sale</v>
      </c>
      <c r="S4" s="7">
        <f t="shared" ref="S4:S67" si="1">(P3/J3)*100</f>
        <v>4.7619047619047619</v>
      </c>
      <c r="T4" s="7" t="str" cm="1">
        <f t="array" ref="T4">_xlfn.IFS(Q3&gt;=8,"Excellent",Q3&gt;=6,"Good",Q3&gt;=4,"Average",TRUE,"Poor")</f>
        <v>Excellent</v>
      </c>
      <c r="U4" s="9">
        <f t="shared" ref="U4:U67" si="2">J3/SUM($J$2:$J$1001)</f>
        <v>2.4838470290946261E-4</v>
      </c>
      <c r="V4" s="7" t="str" cm="1">
        <f t="array" ref="V4">_xlfn.IFS(HOUR(L3)&lt;12,"Morning",HOUR(L3)&lt;17,"Afternoon",HOUR(L3)&lt;21,"Evening",TRUE,"Night")</f>
        <v>Morning</v>
      </c>
    </row>
    <row r="5" spans="1:22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  <c r="R5" s="5" t="str">
        <f t="shared" si="0"/>
        <v>Low Sale</v>
      </c>
      <c r="S5" s="7">
        <f t="shared" si="1"/>
        <v>4.761904761904761</v>
      </c>
      <c r="T5" s="7" t="str" cm="1">
        <f t="array" ref="T5">_xlfn.IFS(Q4&gt;=8,"Excellent",Q4&gt;=6,"Good",Q4&gt;=4,"Average",TRUE,"Poor")</f>
        <v>Good</v>
      </c>
      <c r="U5" s="9">
        <f t="shared" si="2"/>
        <v>1.0543670549812542E-3</v>
      </c>
      <c r="V5" s="7" t="str" cm="1">
        <f t="array" ref="V5">_xlfn.IFS(HOUR(L4)&lt;12,"Morning",HOUR(L4)&lt;17,"Afternoon",HOUR(L4)&lt;21,"Evening",TRUE,"Night")</f>
        <v>Afternoon</v>
      </c>
    </row>
    <row r="6" spans="1:22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R6" s="5" t="str">
        <f t="shared" si="0"/>
        <v>Low Sale</v>
      </c>
      <c r="S6" s="7">
        <f t="shared" si="1"/>
        <v>4.7619047619047619</v>
      </c>
      <c r="T6" s="7" t="str" cm="1">
        <f t="array" ref="T6">_xlfn.IFS(Q5&gt;=8,"Excellent",Q5&gt;=6,"Good",Q5&gt;=4,"Average",TRUE,"Poor")</f>
        <v>Excellent</v>
      </c>
      <c r="U6" s="9">
        <f t="shared" si="2"/>
        <v>1.5142363773182109E-3</v>
      </c>
      <c r="V6" s="7" t="str" cm="1">
        <f t="array" ref="V6">_xlfn.IFS(HOUR(L5)&lt;12,"Morning",HOUR(L5)&lt;17,"Afternoon",HOUR(L5)&lt;21,"Evening",TRUE,"Night")</f>
        <v>Evening</v>
      </c>
    </row>
    <row r="7" spans="1:22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R7" s="5" t="str">
        <f t="shared" si="0"/>
        <v>Medium Sale</v>
      </c>
      <c r="S7" s="7">
        <f t="shared" si="1"/>
        <v>4.7619047619047619</v>
      </c>
      <c r="T7" s="7" t="str" cm="1">
        <f t="array" ref="T7">_xlfn.IFS(Q6&gt;=8,"Excellent",Q6&gt;=6,"Good",Q6&gt;=4,"Average",TRUE,"Poor")</f>
        <v>Average</v>
      </c>
      <c r="U7" s="9">
        <f t="shared" si="2"/>
        <v>1.9642223292776185E-3</v>
      </c>
      <c r="V7" s="7" t="str" cm="1">
        <f t="array" ref="V7">_xlfn.IFS(HOUR(L6)&lt;12,"Morning",HOUR(L6)&lt;17,"Afternoon",HOUR(L6)&lt;21,"Evening",TRUE,"Night")</f>
        <v>Morning</v>
      </c>
    </row>
    <row r="8" spans="1:22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R8" s="5" t="str">
        <f t="shared" si="0"/>
        <v>Medium Sale</v>
      </c>
      <c r="S8" s="7">
        <f t="shared" si="1"/>
        <v>4.7619047619047628</v>
      </c>
      <c r="T8" s="7" t="str" cm="1">
        <f t="array" ref="T8">_xlfn.IFS(Q7&gt;=8,"Excellent",Q7&gt;=6,"Good",Q7&gt;=4,"Average",TRUE,"Poor")</f>
        <v>Average</v>
      </c>
      <c r="U8" s="9">
        <f t="shared" si="2"/>
        <v>1.9432851893988624E-3</v>
      </c>
      <c r="V8" s="7" t="str" cm="1">
        <f t="array" ref="V8">_xlfn.IFS(HOUR(L7)&lt;12,"Morning",HOUR(L7)&lt;17,"Afternoon",HOUR(L7)&lt;21,"Evening",TRUE,"Night")</f>
        <v>Evening</v>
      </c>
    </row>
    <row r="9" spans="1:22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R9" s="5" t="str">
        <f t="shared" si="0"/>
        <v>Low Sale</v>
      </c>
      <c r="S9" s="7">
        <f t="shared" si="1"/>
        <v>4.7619047619047628</v>
      </c>
      <c r="T9" s="7" t="str" cm="1">
        <f t="array" ref="T9">_xlfn.IFS(Q8&gt;=8,"Excellent",Q8&gt;=6,"Good",Q8&gt;=4,"Average",TRUE,"Poor")</f>
        <v>Average</v>
      </c>
      <c r="U9" s="9">
        <f t="shared" si="2"/>
        <v>1.3428379278759743E-3</v>
      </c>
      <c r="V9" s="7" t="str" cm="1">
        <f t="array" ref="V9">_xlfn.IFS(HOUR(L8)&lt;12,"Morning",HOUR(L8)&lt;17,"Afternoon",HOUR(L8)&lt;21,"Evening",TRUE,"Night")</f>
        <v>Afternoon</v>
      </c>
    </row>
    <row r="10" spans="1:22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  <c r="R10" s="5" t="str">
        <f t="shared" si="0"/>
        <v>Medium Sale</v>
      </c>
      <c r="S10" s="7">
        <f t="shared" si="1"/>
        <v>4.7619047619047628</v>
      </c>
      <c r="T10" s="7" t="str" cm="1">
        <f t="array" ref="T10">_xlfn.IFS(Q9&gt;=8,"Excellent",Q9&gt;=6,"Good",Q9&gt;=4,"Average",TRUE,"Poor")</f>
        <v>Excellent</v>
      </c>
      <c r="U10" s="9">
        <f t="shared" si="2"/>
        <v>2.3915155426727842E-3</v>
      </c>
      <c r="V10" s="7" t="str" cm="1">
        <f t="array" ref="V10">_xlfn.IFS(HOUR(L9)&lt;12,"Morning",HOUR(L9)&lt;17,"Afternoon",HOUR(L9)&lt;21,"Evening",TRUE,"Night")</f>
        <v>Morning</v>
      </c>
    </row>
    <row r="11" spans="1:22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  <c r="R11" s="5" t="str">
        <f t="shared" si="0"/>
        <v>Low Sale</v>
      </c>
      <c r="S11" s="7">
        <f t="shared" si="1"/>
        <v>4.7619047619047619</v>
      </c>
      <c r="T11" s="7" t="str" cm="1">
        <f t="array" ref="T11">_xlfn.IFS(Q10&gt;=8,"Excellent",Q10&gt;=6,"Good",Q10&gt;=4,"Average",TRUE,"Poor")</f>
        <v>Good</v>
      </c>
      <c r="U11" s="9">
        <f t="shared" si="2"/>
        <v>2.3577040124337997E-4</v>
      </c>
      <c r="V11" s="7" t="str" cm="1">
        <f t="array" ref="V11">_xlfn.IFS(HOUR(L10)&lt;12,"Morning",HOUR(L10)&lt;17,"Afternoon",HOUR(L10)&lt;21,"Evening",TRUE,"Night")</f>
        <v>Evening</v>
      </c>
    </row>
    <row r="12" spans="1:22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R12" s="5" t="str">
        <f t="shared" si="0"/>
        <v>Low Sale</v>
      </c>
      <c r="S12" s="7">
        <f t="shared" si="1"/>
        <v>4.7619047619047628</v>
      </c>
      <c r="T12" s="7" t="str" cm="1">
        <f t="array" ref="T12">_xlfn.IFS(Q11&gt;=8,"Excellent",Q11&gt;=6,"Good",Q11&gt;=4,"Average",TRUE,"Poor")</f>
        <v>Average</v>
      </c>
      <c r="U12" s="9">
        <f t="shared" si="2"/>
        <v>5.3487239951131925E-4</v>
      </c>
      <c r="V12" s="7" t="str" cm="1">
        <f t="array" ref="V12">_xlfn.IFS(HOUR(L11)&lt;12,"Morning",HOUR(L11)&lt;17,"Afternoon",HOUR(L11)&lt;21,"Evening",TRUE,"Night")</f>
        <v>Afternoon</v>
      </c>
    </row>
    <row r="13" spans="1:22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  <c r="R13" s="5" t="str">
        <f t="shared" si="0"/>
        <v>Low Sale</v>
      </c>
      <c r="S13" s="7">
        <f t="shared" si="1"/>
        <v>4.7619047619047619</v>
      </c>
      <c r="T13" s="7" t="str" cm="1">
        <f t="array" ref="T13">_xlfn.IFS(Q12&gt;=8,"Excellent",Q12&gt;=6,"Good",Q12&gt;=4,"Average",TRUE,"Poor")</f>
        <v>Average</v>
      </c>
      <c r="U13" s="9">
        <f t="shared" si="2"/>
        <v>1.8830421456172874E-4</v>
      </c>
      <c r="V13" s="7" t="str" cm="1">
        <f t="array" ref="V13">_xlfn.IFS(HOUR(L12)&lt;12,"Morning",HOUR(L12)&lt;17,"Afternoon",HOUR(L12)&lt;21,"Evening",TRUE,"Night")</f>
        <v>Evening</v>
      </c>
    </row>
    <row r="14" spans="1:22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s="5" t="str">
        <f t="shared" si="0"/>
        <v>Low Sale</v>
      </c>
      <c r="S14" s="7">
        <f t="shared" si="1"/>
        <v>4.7619047619047628</v>
      </c>
      <c r="T14" s="7" t="str" cm="1">
        <f t="array" ref="T14">_xlfn.IFS(Q13&gt;=8,"Excellent",Q13&gt;=6,"Good",Q13&gt;=4,"Average",TRUE,"Poor")</f>
        <v>Good</v>
      </c>
      <c r="U14" s="9">
        <f t="shared" si="2"/>
        <v>3.3174312938326654E-4</v>
      </c>
      <c r="V14" s="7" t="str" cm="1">
        <f t="array" ref="V14">_xlfn.IFS(HOUR(L13)&lt;12,"Morning",HOUR(L13)&lt;17,"Afternoon",HOUR(L13)&lt;21,"Evening",TRUE,"Night")</f>
        <v>Evening</v>
      </c>
    </row>
    <row r="15" spans="1:22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  <c r="R15" s="5" t="str">
        <f t="shared" si="0"/>
        <v>Low Sale</v>
      </c>
      <c r="S15" s="7">
        <f t="shared" si="1"/>
        <v>4.7619047619047619</v>
      </c>
      <c r="T15" s="7" t="str" cm="1">
        <f t="array" ref="T15">_xlfn.IFS(Q14&gt;=8,"Excellent",Q14&gt;=6,"Good",Q14&gt;=4,"Average",TRUE,"Poor")</f>
        <v>Good</v>
      </c>
      <c r="U15" s="9">
        <f t="shared" si="2"/>
        <v>7.63197761884769E-4</v>
      </c>
      <c r="V15" s="7" t="str" cm="1">
        <f t="array" ref="V15">_xlfn.IFS(HOUR(L14)&lt;12,"Morning",HOUR(L14)&lt;17,"Afternoon",HOUR(L14)&lt;21,"Evening",TRUE,"Night")</f>
        <v>Morning</v>
      </c>
    </row>
    <row r="16" spans="1:22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R16" s="5" t="str">
        <f t="shared" si="0"/>
        <v>Low Sale</v>
      </c>
      <c r="S16" s="7">
        <f t="shared" si="1"/>
        <v>4.7619047619047619</v>
      </c>
      <c r="T16" s="7" t="str" cm="1">
        <f t="array" ref="T16">_xlfn.IFS(Q15&gt;=8,"Excellent",Q15&gt;=6,"Good",Q15&gt;=4,"Average",TRUE,"Poor")</f>
        <v>Excellent</v>
      </c>
      <c r="U16" s="9">
        <f t="shared" si="2"/>
        <v>1.4041538375209018E-3</v>
      </c>
      <c r="V16" s="7" t="str" cm="1">
        <f t="array" ref="V16">_xlfn.IFS(HOUR(L15)&lt;12,"Morning",HOUR(L15)&lt;17,"Afternoon",HOUR(L15)&lt;21,"Evening",TRUE,"Night")</f>
        <v>Afternoon</v>
      </c>
    </row>
    <row r="17" spans="1:22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  <c r="R17" s="5" t="str">
        <f t="shared" si="0"/>
        <v>Medium Sale</v>
      </c>
      <c r="S17" s="7">
        <f t="shared" si="1"/>
        <v>4.7619047619047619</v>
      </c>
      <c r="T17" s="7" t="str" cm="1">
        <f t="array" ref="T17">_xlfn.IFS(Q16&gt;=8,"Excellent",Q16&gt;=6,"Good",Q16&gt;=4,"Average",TRUE,"Poor")</f>
        <v>Average</v>
      </c>
      <c r="U17" s="9">
        <f t="shared" si="2"/>
        <v>2.3206413735179896E-3</v>
      </c>
      <c r="V17" s="7" t="str" cm="1">
        <f t="array" ref="V17">_xlfn.IFS(HOUR(L16)&lt;12,"Morning",HOUR(L16)&lt;17,"Afternoon",HOUR(L16)&lt;21,"Evening",TRUE,"Night")</f>
        <v>Evening</v>
      </c>
    </row>
    <row r="18" spans="1:22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  <c r="R18" s="5" t="str">
        <f t="shared" si="0"/>
        <v>Medium Sale</v>
      </c>
      <c r="S18" s="7">
        <f t="shared" si="1"/>
        <v>4.7619047619047619</v>
      </c>
      <c r="T18" s="7" t="str" cm="1">
        <f t="array" ref="T18">_xlfn.IFS(Q17&gt;=8,"Excellent",Q17&gt;=6,"Good",Q17&gt;=4,"Average",TRUE,"Poor")</f>
        <v>Average</v>
      </c>
      <c r="U18" s="9">
        <f t="shared" si="2"/>
        <v>1.8281634311524742E-3</v>
      </c>
      <c r="V18" s="7" t="str" cm="1">
        <f t="array" ref="V18">_xlfn.IFS(HOUR(L17)&lt;12,"Morning",HOUR(L17)&lt;17,"Afternoon",HOUR(L17)&lt;21,"Evening",TRUE,"Night")</f>
        <v>Afternoon</v>
      </c>
    </row>
    <row r="19" spans="1:22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  <c r="R19" s="5" t="str">
        <f t="shared" si="0"/>
        <v>Medium Sale</v>
      </c>
      <c r="S19" s="7">
        <f t="shared" si="1"/>
        <v>4.7619047619047619</v>
      </c>
      <c r="T19" s="7" t="str" cm="1">
        <f t="array" ref="T19">_xlfn.IFS(Q18&gt;=8,"Excellent",Q18&gt;=6,"Good",Q18&gt;=4,"Average",TRUE,"Poor")</f>
        <v>Average</v>
      </c>
      <c r="U19" s="9">
        <f t="shared" si="2"/>
        <v>1.5686924476550367E-3</v>
      </c>
      <c r="V19" s="7" t="str" cm="1">
        <f t="array" ref="V19">_xlfn.IFS(HOUR(L18)&lt;12,"Morning",HOUR(L18)&lt;17,"Afternoon",HOUR(L18)&lt;21,"Evening",TRUE,"Night")</f>
        <v>Morning</v>
      </c>
    </row>
    <row r="20" spans="1:22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  <c r="R20" s="5" t="str">
        <f t="shared" si="0"/>
        <v>Low Sale</v>
      </c>
      <c r="S20" s="7">
        <f t="shared" si="1"/>
        <v>4.7619047619047628</v>
      </c>
      <c r="T20" s="7" t="str" cm="1">
        <f t="array" ref="T20">_xlfn.IFS(Q19&gt;=8,"Excellent",Q19&gt;=6,"Good",Q19&gt;=4,"Average",TRUE,"Poor")</f>
        <v>Good</v>
      </c>
      <c r="U20" s="9">
        <f t="shared" si="2"/>
        <v>1.4163780061457654E-3</v>
      </c>
      <c r="V20" s="7" t="str" cm="1">
        <f t="array" ref="V20">_xlfn.IFS(HOUR(L19)&lt;12,"Morning",HOUR(L19)&lt;17,"Afternoon",HOUR(L19)&lt;21,"Evening",TRUE,"Night")</f>
        <v>Morning</v>
      </c>
    </row>
    <row r="21" spans="1:22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  <c r="R21" s="5" t="str">
        <f t="shared" si="0"/>
        <v>Low Sale</v>
      </c>
      <c r="S21" s="7">
        <f t="shared" si="1"/>
        <v>4.7619047619047619</v>
      </c>
      <c r="T21" s="7" t="str" cm="1">
        <f t="array" ref="T21">_xlfn.IFS(Q20&gt;=8,"Excellent",Q20&gt;=6,"Good",Q20&gt;=4,"Average",TRUE,"Poor")</f>
        <v>Excellent</v>
      </c>
      <c r="U21" s="9">
        <f t="shared" si="2"/>
        <v>5.3321433408613826E-4</v>
      </c>
      <c r="V21" s="7" t="str" cm="1">
        <f t="array" ref="V21">_xlfn.IFS(HOUR(L20)&lt;12,"Morning",HOUR(L20)&lt;17,"Afternoon",HOUR(L20)&lt;21,"Evening",TRUE,"Night")</f>
        <v>Evening</v>
      </c>
    </row>
    <row r="22" spans="1:22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  <c r="R22" s="5" t="str">
        <f t="shared" si="0"/>
        <v>Low Sale</v>
      </c>
      <c r="S22" s="7">
        <f t="shared" si="1"/>
        <v>4.7619047619047628</v>
      </c>
      <c r="T22" s="7" t="str" cm="1">
        <f t="array" ref="T22">_xlfn.IFS(Q21&gt;=8,"Excellent",Q21&gt;=6,"Good",Q21&gt;=4,"Average",TRUE,"Poor")</f>
        <v>Average</v>
      </c>
      <c r="U22" s="9">
        <f t="shared" si="2"/>
        <v>2.6203935935212942E-4</v>
      </c>
      <c r="V22" s="7" t="str" cm="1">
        <f t="array" ref="V22">_xlfn.IFS(HOUR(L21)&lt;12,"Morning",HOUR(L21)&lt;17,"Afternoon",HOUR(L21)&lt;21,"Evening",TRUE,"Night")</f>
        <v>Afternoon</v>
      </c>
    </row>
    <row r="23" spans="1:22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  <c r="R23" s="5" t="str">
        <f t="shared" si="0"/>
        <v>Low Sale</v>
      </c>
      <c r="S23" s="7">
        <f t="shared" si="1"/>
        <v>4.7619047619047628</v>
      </c>
      <c r="T23" s="7" t="str" cm="1">
        <f t="array" ref="T23">_xlfn.IFS(Q22&gt;=8,"Excellent",Q22&gt;=6,"Good",Q22&gt;=4,"Average",TRUE,"Poor")</f>
        <v>Average</v>
      </c>
      <c r="U23" s="9">
        <f t="shared" si="2"/>
        <v>1.3986269527702987E-3</v>
      </c>
      <c r="V23" s="7" t="str" cm="1">
        <f t="array" ref="V23">_xlfn.IFS(HOUR(L22)&lt;12,"Morning",HOUR(L22)&lt;17,"Afternoon",HOUR(L22)&lt;21,"Evening",TRUE,"Night")</f>
        <v>Morning</v>
      </c>
    </row>
    <row r="24" spans="1:22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  <c r="R24" s="5" t="str">
        <f t="shared" si="0"/>
        <v>Low Sale</v>
      </c>
      <c r="S24" s="7">
        <f t="shared" si="1"/>
        <v>4.7619047619047619</v>
      </c>
      <c r="T24" s="7" t="str" cm="1">
        <f t="array" ref="T24">_xlfn.IFS(Q23&gt;=8,"Excellent",Q23&gt;=6,"Good",Q23&gt;=4,"Average",TRUE,"Poor")</f>
        <v>Average</v>
      </c>
      <c r="U24" s="9">
        <f t="shared" si="2"/>
        <v>8.580976241613032E-4</v>
      </c>
      <c r="V24" s="7" t="str" cm="1">
        <f t="array" ref="V24">_xlfn.IFS(HOUR(L23)&lt;12,"Morning",HOUR(L23)&lt;17,"Afternoon",HOUR(L23)&lt;21,"Evening",TRUE,"Night")</f>
        <v>Morning</v>
      </c>
    </row>
    <row r="25" spans="1:22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  <c r="R25" s="5" t="str">
        <f t="shared" si="0"/>
        <v>Low Sale</v>
      </c>
      <c r="S25" s="7">
        <f t="shared" si="1"/>
        <v>4.7619047619047619</v>
      </c>
      <c r="T25" s="7" t="str" cm="1">
        <f t="array" ref="T25">_xlfn.IFS(Q24&gt;=8,"Excellent",Q24&gt;=6,"Good",Q24&gt;=4,"Average",TRUE,"Poor")</f>
        <v>Average</v>
      </c>
      <c r="U25" s="9">
        <f t="shared" si="2"/>
        <v>2.1587361614120834E-4</v>
      </c>
      <c r="V25" s="7" t="str" cm="1">
        <f t="array" ref="V25">_xlfn.IFS(HOUR(L24)&lt;12,"Morning",HOUR(L24)&lt;17,"Afternoon",HOUR(L24)&lt;21,"Evening",TRUE,"Night")</f>
        <v>Afternoon</v>
      </c>
    </row>
    <row r="26" spans="1:22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  <c r="R26" s="5" t="str">
        <f t="shared" si="0"/>
        <v>Low Sale</v>
      </c>
      <c r="S26" s="7">
        <f t="shared" si="1"/>
        <v>4.7619047619047628</v>
      </c>
      <c r="T26" s="7" t="str" cm="1">
        <f t="array" ref="T26">_xlfn.IFS(Q25&gt;=8,"Excellent",Q25&gt;=6,"Good",Q25&gt;=4,"Average",TRUE,"Poor")</f>
        <v>Excellent</v>
      </c>
      <c r="U26" s="9">
        <f t="shared" si="2"/>
        <v>5.6179157935543381E-4</v>
      </c>
      <c r="V26" s="7" t="str" cm="1">
        <f t="array" ref="V26">_xlfn.IFS(HOUR(L25)&lt;12,"Morning",HOUR(L25)&lt;17,"Afternoon",HOUR(L25)&lt;21,"Evening",TRUE,"Night")</f>
        <v>Morning</v>
      </c>
    </row>
    <row r="27" spans="1:22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  <c r="R27" s="5" t="str">
        <f t="shared" si="0"/>
        <v>Low Sale</v>
      </c>
      <c r="S27" s="7">
        <f t="shared" si="1"/>
        <v>4.7619047619047619</v>
      </c>
      <c r="T27" s="7" t="str" cm="1">
        <f t="array" ref="T27">_xlfn.IFS(Q26&gt;=8,"Excellent",Q26&gt;=6,"Good",Q26&gt;=4,"Average",TRUE,"Poor")</f>
        <v>Good</v>
      </c>
      <c r="U27" s="9">
        <f t="shared" si="2"/>
        <v>8.6443728608111281E-4</v>
      </c>
      <c r="V27" s="7" t="str" cm="1">
        <f t="array" ref="V27">_xlfn.IFS(HOUR(L26)&lt;12,"Morning",HOUR(L26)&lt;17,"Afternoon",HOUR(L26)&lt;21,"Evening",TRUE,"Night")</f>
        <v>Evening</v>
      </c>
    </row>
    <row r="28" spans="1:22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  <c r="R28" s="5" t="str">
        <f t="shared" si="0"/>
        <v>Low Sale</v>
      </c>
      <c r="S28" s="7">
        <f t="shared" si="1"/>
        <v>4.7619047619047628</v>
      </c>
      <c r="T28" s="7" t="str" cm="1">
        <f t="array" ref="T28">_xlfn.IFS(Q27&gt;=8,"Excellent",Q27&gt;=6,"Good",Q27&gt;=4,"Average",TRUE,"Poor")</f>
        <v>Excellent</v>
      </c>
      <c r="U28" s="9">
        <f t="shared" si="2"/>
        <v>1.3678064425139936E-3</v>
      </c>
      <c r="V28" s="7" t="str" cm="1">
        <f t="array" ref="V28">_xlfn.IFS(HOUR(L27)&lt;12,"Morning",HOUR(L27)&lt;17,"Afternoon",HOUR(L27)&lt;21,"Evening",TRUE,"Night")</f>
        <v>Evening</v>
      </c>
    </row>
    <row r="29" spans="1:22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  <c r="R29" s="5" t="str">
        <f t="shared" si="0"/>
        <v>Low Sale</v>
      </c>
      <c r="S29" s="7">
        <f t="shared" si="1"/>
        <v>4.7619047619047628</v>
      </c>
      <c r="T29" s="7" t="str" cm="1">
        <f t="array" ref="T29">_xlfn.IFS(Q28&gt;=8,"Excellent",Q28&gt;=6,"Good",Q28&gt;=4,"Average",TRUE,"Poor")</f>
        <v>Good</v>
      </c>
      <c r="U29" s="9">
        <f t="shared" si="2"/>
        <v>1.089771628471883E-4</v>
      </c>
      <c r="V29" s="7" t="str" cm="1">
        <f t="array" ref="V29">_xlfn.IFS(HOUR(L28)&lt;12,"Morning",HOUR(L28)&lt;17,"Afternoon",HOUR(L28)&lt;21,"Evening",TRUE,"Night")</f>
        <v>Afternoon</v>
      </c>
    </row>
    <row r="30" spans="1:22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  <c r="R30" s="5" t="str">
        <f t="shared" si="0"/>
        <v>Low Sale</v>
      </c>
      <c r="S30" s="7">
        <f t="shared" si="1"/>
        <v>4.7619047619047619</v>
      </c>
      <c r="T30" s="7" t="str" cm="1">
        <f t="array" ref="T30">_xlfn.IFS(Q29&gt;=8,"Excellent",Q29&gt;=6,"Good",Q29&gt;=4,"Average",TRUE,"Poor")</f>
        <v>Good</v>
      </c>
      <c r="U30" s="9">
        <f t="shared" si="2"/>
        <v>5.7004939539457037E-4</v>
      </c>
      <c r="V30" s="7" t="str" cm="1">
        <f t="array" ref="V30">_xlfn.IFS(HOUR(L29)&lt;12,"Morning",HOUR(L29)&lt;17,"Afternoon",HOUR(L29)&lt;21,"Evening",TRUE,"Night")</f>
        <v>Afternoon</v>
      </c>
    </row>
    <row r="31" spans="1:22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  <c r="R31" s="5" t="str">
        <f t="shared" si="0"/>
        <v>Low Sale</v>
      </c>
      <c r="S31" s="7">
        <f t="shared" si="1"/>
        <v>4.7619047619047628</v>
      </c>
      <c r="T31" s="7" t="str" cm="1">
        <f t="array" ref="T31">_xlfn.IFS(Q30&gt;=8,"Excellent",Q30&gt;=6,"Good",Q30&gt;=4,"Average",TRUE,"Poor")</f>
        <v>Excellent</v>
      </c>
      <c r="U31" s="9">
        <f t="shared" si="2"/>
        <v>1.4363398134214736E-3</v>
      </c>
      <c r="V31" s="7" t="str" cm="1">
        <f t="array" ref="V31">_xlfn.IFS(HOUR(L30)&lt;12,"Morning",HOUR(L30)&lt;17,"Afternoon",HOUR(L30)&lt;21,"Evening",TRUE,"Night")</f>
        <v>Evening</v>
      </c>
    </row>
    <row r="32" spans="1:22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  <c r="R32" s="5" t="str">
        <f t="shared" si="0"/>
        <v>Low Sale</v>
      </c>
      <c r="S32" s="7">
        <f t="shared" si="1"/>
        <v>4.7619047619047619</v>
      </c>
      <c r="T32" s="7" t="str" cm="1">
        <f t="array" ref="T32">_xlfn.IFS(Q31&gt;=8,"Excellent",Q31&gt;=6,"Good",Q31&gt;=4,"Average",TRUE,"Poor")</f>
        <v>Good</v>
      </c>
      <c r="U32" s="9">
        <f t="shared" si="2"/>
        <v>7.2828085469566384E-4</v>
      </c>
      <c r="V32" s="7" t="str" cm="1">
        <f t="array" ref="V32">_xlfn.IFS(HOUR(L31)&lt;12,"Morning",HOUR(L31)&lt;17,"Afternoon",HOUR(L31)&lt;21,"Evening",TRUE,"Night")</f>
        <v>Afternoon</v>
      </c>
    </row>
    <row r="33" spans="1:22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  <c r="R33" s="5" t="str">
        <f t="shared" si="0"/>
        <v>Low Sale</v>
      </c>
      <c r="S33" s="7">
        <f t="shared" si="1"/>
        <v>4.7619047619047619</v>
      </c>
      <c r="T33" s="7" t="str" cm="1">
        <f t="array" ref="T33">_xlfn.IFS(Q32&gt;=8,"Excellent",Q32&gt;=6,"Good",Q32&gt;=4,"Average",TRUE,"Poor")</f>
        <v>Average</v>
      </c>
      <c r="U33" s="9">
        <f t="shared" si="2"/>
        <v>1.5301342987478872E-3</v>
      </c>
      <c r="V33" s="7" t="str" cm="1">
        <f t="array" ref="V33">_xlfn.IFS(HOUR(L32)&lt;12,"Morning",HOUR(L32)&lt;17,"Afternoon",HOUR(L32)&lt;21,"Evening",TRUE,"Night")</f>
        <v>Evening</v>
      </c>
    </row>
    <row r="34" spans="1:22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  <c r="R34" s="5" t="str">
        <f t="shared" si="0"/>
        <v>Medium Sale</v>
      </c>
      <c r="S34" s="7">
        <f t="shared" si="1"/>
        <v>4.7619047619047628</v>
      </c>
      <c r="T34" s="7" t="str" cm="1">
        <f t="array" ref="T34">_xlfn.IFS(Q33&gt;=8,"Excellent",Q33&gt;=6,"Good",Q33&gt;=4,"Average",TRUE,"Poor")</f>
        <v>Average</v>
      </c>
      <c r="U34" s="9">
        <f t="shared" si="2"/>
        <v>2.2843264895978494E-3</v>
      </c>
      <c r="V34" s="7" t="str" cm="1">
        <f t="array" ref="V34">_xlfn.IFS(HOUR(L33)&lt;12,"Morning",HOUR(L33)&lt;17,"Afternoon",HOUR(L33)&lt;21,"Evening",TRUE,"Night")</f>
        <v>Afternoon</v>
      </c>
    </row>
    <row r="35" spans="1:22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  <c r="R35" s="5" t="str">
        <f t="shared" si="0"/>
        <v>Medium Sale</v>
      </c>
      <c r="S35" s="7">
        <f t="shared" si="1"/>
        <v>4.7619047619047628</v>
      </c>
      <c r="T35" s="7" t="str" cm="1">
        <f t="array" ref="T35">_xlfn.IFS(Q34&gt;=8,"Excellent",Q34&gt;=6,"Good",Q34&gt;=4,"Average",TRUE,"Poor")</f>
        <v>Average</v>
      </c>
      <c r="U35" s="9">
        <f t="shared" si="2"/>
        <v>2.1790230795554742E-3</v>
      </c>
      <c r="V35" s="7" t="str" cm="1">
        <f t="array" ref="V35">_xlfn.IFS(HOUR(L34)&lt;12,"Morning",HOUR(L34)&lt;17,"Afternoon",HOUR(L34)&lt;21,"Evening",TRUE,"Night")</f>
        <v>Afternoon</v>
      </c>
    </row>
    <row r="36" spans="1:22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  <c r="R36" s="5" t="str">
        <f t="shared" si="0"/>
        <v>Low Sale</v>
      </c>
      <c r="S36" s="7">
        <f t="shared" si="1"/>
        <v>4.7619047619047619</v>
      </c>
      <c r="T36" s="7" t="str" cm="1">
        <f t="array" ref="T36">_xlfn.IFS(Q35&gt;=8,"Excellent",Q35&gt;=6,"Good",Q35&gt;=4,"Average",TRUE,"Poor")</f>
        <v>Average</v>
      </c>
      <c r="U36" s="9">
        <f t="shared" si="2"/>
        <v>6.2798415201559949E-4</v>
      </c>
      <c r="V36" s="7" t="str" cm="1">
        <f t="array" ref="V36">_xlfn.IFS(HOUR(L35)&lt;12,"Morning",HOUR(L35)&lt;17,"Afternoon",HOUR(L35)&lt;21,"Evening",TRUE,"Night")</f>
        <v>Morning</v>
      </c>
    </row>
    <row r="37" spans="1:22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  <c r="R37" s="5" t="str">
        <f t="shared" si="0"/>
        <v>Low Sale</v>
      </c>
      <c r="S37" s="7">
        <f t="shared" si="1"/>
        <v>4.7619047619047619</v>
      </c>
      <c r="T37" s="7" t="str" cm="1">
        <f t="array" ref="T37">_xlfn.IFS(Q36&gt;=8,"Excellent",Q36&gt;=6,"Good",Q36&gt;=4,"Average",TRUE,"Poor")</f>
        <v>Good</v>
      </c>
      <c r="U37" s="9">
        <f t="shared" si="2"/>
        <v>1.2929008985999358E-3</v>
      </c>
      <c r="V37" s="7" t="str" cm="1">
        <f t="array" ref="V37">_xlfn.IFS(HOUR(L36)&lt;12,"Morning",HOUR(L36)&lt;17,"Afternoon",HOUR(L36)&lt;21,"Evening",TRUE,"Night")</f>
        <v>Morning</v>
      </c>
    </row>
    <row r="38" spans="1:22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  <c r="R38" s="5" t="str">
        <f t="shared" si="0"/>
        <v>Low Sale</v>
      </c>
      <c r="S38" s="7">
        <f t="shared" si="1"/>
        <v>4.7619047619047628</v>
      </c>
      <c r="T38" s="7" t="str" cm="1">
        <f t="array" ref="T38">_xlfn.IFS(Q37&gt;=8,"Excellent",Q37&gt;=6,"Good",Q37&gt;=4,"Average",TRUE,"Poor")</f>
        <v>Good</v>
      </c>
      <c r="U38" s="9">
        <f t="shared" si="2"/>
        <v>2.2146552306534807E-4</v>
      </c>
      <c r="V38" s="7" t="str" cm="1">
        <f t="array" ref="V38">_xlfn.IFS(HOUR(L37)&lt;12,"Morning",HOUR(L37)&lt;17,"Afternoon",HOUR(L37)&lt;21,"Evening",TRUE,"Night")</f>
        <v>Afternoon</v>
      </c>
    </row>
    <row r="39" spans="1:22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  <c r="R39" s="5" t="str">
        <f t="shared" si="0"/>
        <v>Low Sale</v>
      </c>
      <c r="S39" s="7">
        <f t="shared" si="1"/>
        <v>4.7619047619047619</v>
      </c>
      <c r="T39" s="7" t="str" cm="1">
        <f t="array" ref="T39">_xlfn.IFS(Q38&gt;=8,"Excellent",Q38&gt;=6,"Good",Q38&gt;=4,"Average",TRUE,"Poor")</f>
        <v>Good</v>
      </c>
      <c r="U39" s="9">
        <f t="shared" si="2"/>
        <v>1.0179221267140411E-3</v>
      </c>
      <c r="V39" s="7" t="str" cm="1">
        <f t="array" ref="V39">_xlfn.IFS(HOUR(L38)&lt;12,"Morning",HOUR(L38)&lt;17,"Afternoon",HOUR(L38)&lt;21,"Evening",TRUE,"Night")</f>
        <v>Evening</v>
      </c>
    </row>
    <row r="40" spans="1:22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  <c r="R40" s="5" t="str">
        <f t="shared" si="0"/>
        <v>Medium Sale</v>
      </c>
      <c r="S40" s="7">
        <f t="shared" si="1"/>
        <v>4.7619047619047619</v>
      </c>
      <c r="T40" s="7" t="str" cm="1">
        <f t="array" ref="T40">_xlfn.IFS(Q39&gt;=8,"Excellent",Q39&gt;=6,"Good",Q39&gt;=4,"Average",TRUE,"Poor")</f>
        <v>Average</v>
      </c>
      <c r="U40" s="9">
        <f t="shared" si="2"/>
        <v>1.781347466206188E-3</v>
      </c>
      <c r="V40" s="7" t="str" cm="1">
        <f t="array" ref="V40">_xlfn.IFS(HOUR(L39)&lt;12,"Morning",HOUR(L39)&lt;17,"Afternoon",HOUR(L39)&lt;21,"Evening",TRUE,"Night")</f>
        <v>Evening</v>
      </c>
    </row>
    <row r="41" spans="1:22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  <c r="R41" s="5" t="str">
        <f t="shared" si="0"/>
        <v>Low Sale</v>
      </c>
      <c r="S41" s="7">
        <f t="shared" si="1"/>
        <v>4.7619047619047628</v>
      </c>
      <c r="T41" s="7" t="str" cm="1">
        <f t="array" ref="T41">_xlfn.IFS(Q40&gt;=8,"Excellent",Q40&gt;=6,"Good",Q40&gt;=4,"Average",TRUE,"Poor")</f>
        <v>Good</v>
      </c>
      <c r="U41" s="9">
        <f t="shared" si="2"/>
        <v>1.4284071082500194E-3</v>
      </c>
      <c r="V41" s="7" t="str" cm="1">
        <f t="array" ref="V41">_xlfn.IFS(HOUR(L40)&lt;12,"Morning",HOUR(L40)&lt;17,"Afternoon",HOUR(L40)&lt;21,"Evening",TRUE,"Night")</f>
        <v>Afternoon</v>
      </c>
    </row>
    <row r="42" spans="1:22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  <c r="R42" s="5" t="str">
        <f t="shared" si="0"/>
        <v>Low Sale</v>
      </c>
      <c r="S42" s="7">
        <f t="shared" si="1"/>
        <v>4.7619047619047619</v>
      </c>
      <c r="T42" s="7" t="str" cm="1">
        <f t="array" ref="T42">_xlfn.IFS(Q41&gt;=8,"Excellent",Q41&gt;=6,"Good",Q41&gt;=4,"Average",TRUE,"Poor")</f>
        <v>Good</v>
      </c>
      <c r="U42" s="9">
        <f t="shared" si="2"/>
        <v>7.8338714676785489E-4</v>
      </c>
      <c r="V42" s="7" t="str" cm="1">
        <f t="array" ref="V42">_xlfn.IFS(HOUR(L41)&lt;12,"Morning",HOUR(L41)&lt;17,"Afternoon",HOUR(L41)&lt;21,"Evening",TRUE,"Night")</f>
        <v>Afternoon</v>
      </c>
    </row>
    <row r="43" spans="1:22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  <c r="R43" s="5" t="str">
        <f t="shared" si="0"/>
        <v>Low Sale</v>
      </c>
      <c r="S43" s="7">
        <f t="shared" si="1"/>
        <v>4.7619047619047628</v>
      </c>
      <c r="T43" s="7" t="str" cm="1">
        <f t="array" ref="T43">_xlfn.IFS(Q42&gt;=8,"Excellent",Q42&gt;=6,"Good",Q42&gt;=4,"Average",TRUE,"Poor")</f>
        <v>Good</v>
      </c>
      <c r="U43" s="9">
        <f t="shared" si="2"/>
        <v>2.81936144454301E-4</v>
      </c>
      <c r="V43" s="7" t="str" cm="1">
        <f t="array" ref="V43">_xlfn.IFS(HOUR(L42)&lt;12,"Morning",HOUR(L42)&lt;17,"Afternoon",HOUR(L42)&lt;21,"Evening",TRUE,"Night")</f>
        <v>Evening</v>
      </c>
    </row>
    <row r="44" spans="1:22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  <c r="R44" s="5" t="str">
        <f t="shared" si="0"/>
        <v>Low Sale</v>
      </c>
      <c r="S44" s="7">
        <f t="shared" si="1"/>
        <v>4.7619047619047619</v>
      </c>
      <c r="T44" s="7" t="str" cm="1">
        <f t="array" ref="T44">_xlfn.IFS(Q43&gt;=8,"Excellent",Q43&gt;=6,"Good",Q43&gt;=4,"Average",TRUE,"Poor")</f>
        <v>Good</v>
      </c>
      <c r="U44" s="9">
        <f t="shared" si="2"/>
        <v>3.6483941571334943E-4</v>
      </c>
      <c r="V44" s="7" t="str" cm="1">
        <f t="array" ref="V44">_xlfn.IFS(HOUR(L43)&lt;12,"Morning",HOUR(L43)&lt;17,"Afternoon",HOUR(L43)&lt;21,"Evening",TRUE,"Night")</f>
        <v>Morning</v>
      </c>
    </row>
    <row r="45" spans="1:22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  <c r="R45" s="5" t="str">
        <f t="shared" si="0"/>
        <v>Low Sale</v>
      </c>
      <c r="S45" s="7">
        <f t="shared" si="1"/>
        <v>4.7619047619047619</v>
      </c>
      <c r="T45" s="7" t="str" cm="1">
        <f t="array" ref="T45">_xlfn.IFS(Q44&gt;=8,"Excellent",Q44&gt;=6,"Good",Q44&gt;=4,"Average",TRUE,"Poor")</f>
        <v>Average</v>
      </c>
      <c r="U45" s="9">
        <f t="shared" si="2"/>
        <v>1.3482997904530412E-3</v>
      </c>
      <c r="V45" s="7" t="str" cm="1">
        <f t="array" ref="V45">_xlfn.IFS(HOUR(L44)&lt;12,"Morning",HOUR(L44)&lt;17,"Afternoon",HOUR(L44)&lt;21,"Evening",TRUE,"Night")</f>
        <v>Afternoon</v>
      </c>
    </row>
    <row r="46" spans="1:22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  <c r="R46" s="5" t="str">
        <f t="shared" si="0"/>
        <v>Medium Sale</v>
      </c>
      <c r="S46" s="7">
        <f t="shared" si="1"/>
        <v>4.761904761904761</v>
      </c>
      <c r="T46" s="7" t="str" cm="1">
        <f t="array" ref="T46">_xlfn.IFS(Q45&gt;=8,"Excellent",Q45&gt;=6,"Good",Q45&gt;=4,"Average",TRUE,"Poor")</f>
        <v>Good</v>
      </c>
      <c r="U46" s="9">
        <f t="shared" si="2"/>
        <v>2.5670754112213571E-3</v>
      </c>
      <c r="V46" s="7" t="str" cm="1">
        <f t="array" ref="V46">_xlfn.IFS(HOUR(L45)&lt;12,"Morning",HOUR(L45)&lt;17,"Afternoon",HOUR(L45)&lt;21,"Evening",TRUE,"Night")</f>
        <v>Evening</v>
      </c>
    </row>
    <row r="47" spans="1:22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  <c r="R47" s="5" t="str">
        <f t="shared" si="0"/>
        <v>Low Sale</v>
      </c>
      <c r="S47" s="7">
        <f t="shared" si="1"/>
        <v>4.7619047619047619</v>
      </c>
      <c r="T47" s="7" t="str" cm="1">
        <f t="array" ref="T47">_xlfn.IFS(Q46&gt;=8,"Excellent",Q46&gt;=6,"Good",Q46&gt;=4,"Average",TRUE,"Poor")</f>
        <v>Good</v>
      </c>
      <c r="U47" s="9">
        <f t="shared" si="2"/>
        <v>9.9939080725613632E-5</v>
      </c>
      <c r="V47" s="7" t="str" cm="1">
        <f t="array" ref="V47">_xlfn.IFS(HOUR(L46)&lt;12,"Morning",HOUR(L46)&lt;17,"Afternoon",HOUR(L46)&lt;21,"Evening",TRUE,"Night")</f>
        <v>Evening</v>
      </c>
    </row>
    <row r="48" spans="1:22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  <c r="R48" s="5" t="str">
        <f t="shared" si="0"/>
        <v>Low Sale</v>
      </c>
      <c r="S48" s="7">
        <f t="shared" si="1"/>
        <v>4.7619047619047628</v>
      </c>
      <c r="T48" s="7" t="str" cm="1">
        <f t="array" ref="T48">_xlfn.IFS(Q47&gt;=8,"Excellent",Q47&gt;=6,"Good",Q47&gt;=4,"Average",TRUE,"Poor")</f>
        <v>Excellent</v>
      </c>
      <c r="U48" s="9">
        <f t="shared" si="2"/>
        <v>1.2218966850980684E-3</v>
      </c>
      <c r="V48" s="7" t="str" cm="1">
        <f t="array" ref="V48">_xlfn.IFS(HOUR(L47)&lt;12,"Morning",HOUR(L47)&lt;17,"Afternoon",HOUR(L47)&lt;21,"Evening",TRUE,"Night")</f>
        <v>Evening</v>
      </c>
    </row>
    <row r="49" spans="1:22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  <c r="R49" s="5" t="str">
        <f t="shared" si="0"/>
        <v>Medium Sale</v>
      </c>
      <c r="S49" s="7">
        <f t="shared" si="1"/>
        <v>4.7619047619047619</v>
      </c>
      <c r="T49" s="7" t="str" cm="1">
        <f t="array" ref="T49">_xlfn.IFS(Q48&gt;=8,"Excellent",Q48&gt;=6,"Good",Q48&gt;=4,"Average",TRUE,"Poor")</f>
        <v>Excellent</v>
      </c>
      <c r="U49" s="9">
        <f t="shared" si="2"/>
        <v>1.6587481580031011E-3</v>
      </c>
      <c r="V49" s="7" t="str" cm="1">
        <f t="array" ref="V49">_xlfn.IFS(HOUR(L48)&lt;12,"Morning",HOUR(L48)&lt;17,"Afternoon",HOUR(L48)&lt;21,"Evening",TRUE,"Night")</f>
        <v>Evening</v>
      </c>
    </row>
    <row r="50" spans="1:22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  <c r="R50" s="5" t="str">
        <f t="shared" si="0"/>
        <v>Low Sale</v>
      </c>
      <c r="S50" s="7">
        <f t="shared" si="1"/>
        <v>4.7619047619047619</v>
      </c>
      <c r="T50" s="7" t="str" cm="1">
        <f t="array" ref="T50">_xlfn.IFS(Q49&gt;=8,"Excellent",Q49&gt;=6,"Good",Q49&gt;=4,"Average",TRUE,"Poor")</f>
        <v>Average</v>
      </c>
      <c r="U50" s="9">
        <f t="shared" si="2"/>
        <v>5.8549216160949115E-4</v>
      </c>
      <c r="V50" s="7" t="str" cm="1">
        <f t="array" ref="V50">_xlfn.IFS(HOUR(L49)&lt;12,"Morning",HOUR(L49)&lt;17,"Afternoon",HOUR(L49)&lt;21,"Evening",TRUE,"Night")</f>
        <v>Afternoon</v>
      </c>
    </row>
    <row r="51" spans="1:22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  <c r="R51" s="5" t="str">
        <f t="shared" si="0"/>
        <v>Low Sale</v>
      </c>
      <c r="S51" s="7">
        <f t="shared" si="1"/>
        <v>4.7619047619047628</v>
      </c>
      <c r="T51" s="7" t="str" cm="1">
        <f t="array" ref="T51">_xlfn.IFS(Q50&gt;=8,"Excellent",Q50&gt;=6,"Good",Q50&gt;=4,"Average",TRUE,"Poor")</f>
        <v>Excellent</v>
      </c>
      <c r="U51" s="9">
        <f t="shared" si="2"/>
        <v>3.6926092351383197E-4</v>
      </c>
      <c r="V51" s="7" t="str" cm="1">
        <f t="array" ref="V51">_xlfn.IFS(HOUR(L50)&lt;12,"Morning",HOUR(L50)&lt;17,"Afternoon",HOUR(L50)&lt;21,"Evening",TRUE,"Night")</f>
        <v>Afternoon</v>
      </c>
    </row>
    <row r="52" spans="1:22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  <c r="R52" s="5" t="str">
        <f t="shared" si="0"/>
        <v>Medium Sale</v>
      </c>
      <c r="S52" s="7">
        <f t="shared" si="1"/>
        <v>4.7619047619047619</v>
      </c>
      <c r="T52" s="7" t="str" cm="1">
        <f t="array" ref="T52">_xlfn.IFS(Q51&gt;=8,"Excellent",Q51&gt;=6,"Good",Q51&gt;=4,"Average",TRUE,"Poor")</f>
        <v>Good</v>
      </c>
      <c r="U52" s="9">
        <f t="shared" si="2"/>
        <v>2.6863910996608501E-3</v>
      </c>
      <c r="V52" s="7" t="str" cm="1">
        <f t="array" ref="V52">_xlfn.IFS(HOUR(L51)&lt;12,"Morning",HOUR(L51)&lt;17,"Afternoon",HOUR(L51)&lt;21,"Evening",TRUE,"Night")</f>
        <v>Evening</v>
      </c>
    </row>
    <row r="53" spans="1:22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  <c r="R53" s="5" t="str">
        <f t="shared" si="0"/>
        <v>Medium Sale</v>
      </c>
      <c r="S53" s="7">
        <f t="shared" si="1"/>
        <v>4.7619047619047619</v>
      </c>
      <c r="T53" s="7" t="str" cm="1">
        <f t="array" ref="T53">_xlfn.IFS(Q52&gt;=8,"Excellent",Q52&gt;=6,"Good",Q52&gt;=4,"Average",TRUE,"Poor")</f>
        <v>Excellent</v>
      </c>
      <c r="U53" s="9">
        <f t="shared" si="2"/>
        <v>2.080059331432908E-3</v>
      </c>
      <c r="V53" s="7" t="str" cm="1">
        <f t="array" ref="V53">_xlfn.IFS(HOUR(L52)&lt;12,"Morning",HOUR(L52)&lt;17,"Afternoon",HOUR(L52)&lt;21,"Evening",TRUE,"Night")</f>
        <v>Morning</v>
      </c>
    </row>
    <row r="54" spans="1:22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  <c r="R54" s="5" t="str">
        <f t="shared" si="0"/>
        <v>Low Sale</v>
      </c>
      <c r="S54" s="7">
        <f t="shared" si="1"/>
        <v>4.7619047619047628</v>
      </c>
      <c r="T54" s="7" t="str" cm="1">
        <f t="array" ref="T54">_xlfn.IFS(Q53&gt;=8,"Excellent",Q53&gt;=6,"Good",Q53&gt;=4,"Average",TRUE,"Poor")</f>
        <v>Excellent</v>
      </c>
      <c r="U54" s="9">
        <f t="shared" si="2"/>
        <v>7.2483467949822889E-4</v>
      </c>
      <c r="V54" s="7" t="str" cm="1">
        <f t="array" ref="V54">_xlfn.IFS(HOUR(L53)&lt;12,"Morning",HOUR(L53)&lt;17,"Afternoon",HOUR(L53)&lt;21,"Evening",TRUE,"Night")</f>
        <v>Afternoon</v>
      </c>
    </row>
    <row r="55" spans="1:22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  <c r="R55" s="5" t="str">
        <f t="shared" si="0"/>
        <v>Low Sale</v>
      </c>
      <c r="S55" s="7">
        <f t="shared" si="1"/>
        <v>4.7619047619047619</v>
      </c>
      <c r="T55" s="7" t="str" cm="1">
        <f t="array" ref="T55">_xlfn.IFS(Q54&gt;=8,"Excellent",Q54&gt;=6,"Good",Q54&gt;=4,"Average",TRUE,"Poor")</f>
        <v>Good</v>
      </c>
      <c r="U55" s="9">
        <f t="shared" si="2"/>
        <v>2.3238924821948154E-4</v>
      </c>
      <c r="V55" s="7" t="str" cm="1">
        <f t="array" ref="V55">_xlfn.IFS(HOUR(L54)&lt;12,"Morning",HOUR(L54)&lt;17,"Afternoon",HOUR(L54)&lt;21,"Evening",TRUE,"Night")</f>
        <v>Afternoon</v>
      </c>
    </row>
    <row r="56" spans="1:22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  <c r="R56" s="5" t="str">
        <f t="shared" si="0"/>
        <v>Low Sale</v>
      </c>
      <c r="S56" s="7">
        <f t="shared" si="1"/>
        <v>4.7619047619047619</v>
      </c>
      <c r="T56" s="7" t="str" cm="1">
        <f t="array" ref="T56">_xlfn.IFS(Q55&gt;=8,"Excellent",Q55&gt;=6,"Good",Q55&gt;=4,"Average",TRUE,"Poor")</f>
        <v>Good</v>
      </c>
      <c r="U56" s="9">
        <f t="shared" si="2"/>
        <v>5.0164606883416333E-5</v>
      </c>
      <c r="V56" s="7" t="str" cm="1">
        <f t="array" ref="V56">_xlfn.IFS(HOUR(L55)&lt;12,"Morning",HOUR(L55)&lt;17,"Afternoon",HOUR(L55)&lt;21,"Evening",TRUE,"Night")</f>
        <v>Afternoon</v>
      </c>
    </row>
    <row r="57" spans="1:22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  <c r="R57" s="5" t="str">
        <f t="shared" si="0"/>
        <v>Low Sale</v>
      </c>
      <c r="S57" s="7">
        <f t="shared" si="1"/>
        <v>4.7619047619047628</v>
      </c>
      <c r="T57" s="7" t="str" cm="1">
        <f t="array" ref="T57">_xlfn.IFS(Q56&gt;=8,"Excellent",Q56&gt;=6,"Good",Q56&gt;=4,"Average",TRUE,"Poor")</f>
        <v>Good</v>
      </c>
      <c r="U57" s="9">
        <f t="shared" si="2"/>
        <v>1.050758324349978E-4</v>
      </c>
      <c r="V57" s="7" t="str" cm="1">
        <f t="array" ref="V57">_xlfn.IFS(HOUR(L56)&lt;12,"Morning",HOUR(L56)&lt;17,"Afternoon",HOUR(L56)&lt;21,"Evening",TRUE,"Night")</f>
        <v>Morning</v>
      </c>
    </row>
    <row r="58" spans="1:22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  <c r="R58" s="5" t="str">
        <f t="shared" si="0"/>
        <v>Medium Sale</v>
      </c>
      <c r="S58" s="7">
        <f t="shared" si="1"/>
        <v>4.7619047619047628</v>
      </c>
      <c r="T58" s="7" t="str" cm="1">
        <f t="array" ref="T58">_xlfn.IFS(Q57&gt;=8,"Excellent",Q57&gt;=6,"Good",Q57&gt;=4,"Average",TRUE,"Poor")</f>
        <v>Excellent</v>
      </c>
      <c r="U58" s="9">
        <f t="shared" si="2"/>
        <v>2.2362425922676015E-3</v>
      </c>
      <c r="V58" s="7" t="str" cm="1">
        <f t="array" ref="V58">_xlfn.IFS(HOUR(L57)&lt;12,"Morning",HOUR(L57)&lt;17,"Afternoon",HOUR(L57)&lt;21,"Evening",TRUE,"Night")</f>
        <v>Evening</v>
      </c>
    </row>
    <row r="59" spans="1:22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  <c r="R59" s="5" t="str">
        <f t="shared" si="0"/>
        <v>Low Sale</v>
      </c>
      <c r="S59" s="7">
        <f t="shared" si="1"/>
        <v>4.7619047619047619</v>
      </c>
      <c r="T59" s="7" t="str" cm="1">
        <f t="array" ref="T59">_xlfn.IFS(Q58&gt;=8,"Excellent",Q58&gt;=6,"Good",Q58&gt;=4,"Average",TRUE,"Poor")</f>
        <v>Average</v>
      </c>
      <c r="U59" s="9">
        <f t="shared" si="2"/>
        <v>2.8830831746087885E-4</v>
      </c>
      <c r="V59" s="7" t="str" cm="1">
        <f t="array" ref="V59">_xlfn.IFS(HOUR(L58)&lt;12,"Morning",HOUR(L58)&lt;17,"Afternoon",HOUR(L58)&lt;21,"Evening",TRUE,"Night")</f>
        <v>Morning</v>
      </c>
    </row>
    <row r="60" spans="1:22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  <c r="R60" s="5" t="str">
        <f t="shared" si="0"/>
        <v>Medium Sale</v>
      </c>
      <c r="S60" s="7">
        <f t="shared" si="1"/>
        <v>4.7619047619047628</v>
      </c>
      <c r="T60" s="7" t="str" cm="1">
        <f t="array" ref="T60">_xlfn.IFS(Q59&gt;=8,"Excellent",Q59&gt;=6,"Good",Q59&gt;=4,"Average",TRUE,"Poor")</f>
        <v>Good</v>
      </c>
      <c r="U60" s="9">
        <f t="shared" si="2"/>
        <v>2.330394699548466E-3</v>
      </c>
      <c r="V60" s="7" t="str" cm="1">
        <f t="array" ref="V60">_xlfn.IFS(HOUR(L59)&lt;12,"Morning",HOUR(L59)&lt;17,"Afternoon",HOUR(L59)&lt;21,"Evening",TRUE,"Night")</f>
        <v>Morning</v>
      </c>
    </row>
    <row r="61" spans="1:22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  <c r="R61" s="5" t="str">
        <f t="shared" si="0"/>
        <v>Medium Sale</v>
      </c>
      <c r="S61" s="7">
        <f t="shared" si="1"/>
        <v>4.7619047619047619</v>
      </c>
      <c r="T61" s="7" t="str" cm="1">
        <f t="array" ref="T61">_xlfn.IFS(Q60&gt;=8,"Excellent",Q60&gt;=6,"Good",Q60&gt;=4,"Average",TRUE,"Poor")</f>
        <v>Average</v>
      </c>
      <c r="U61" s="9">
        <f t="shared" si="2"/>
        <v>2.352177127683196E-3</v>
      </c>
      <c r="V61" s="7" t="str" cm="1">
        <f t="array" ref="V61">_xlfn.IFS(HOUR(L60)&lt;12,"Morning",HOUR(L60)&lt;17,"Afternoon",HOUR(L60)&lt;21,"Evening",TRUE,"Night")</f>
        <v>Afternoon</v>
      </c>
    </row>
    <row r="62" spans="1:22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  <c r="R62" s="5" t="str">
        <f t="shared" si="0"/>
        <v>Low Sale</v>
      </c>
      <c r="S62" s="7">
        <f t="shared" si="1"/>
        <v>4.7619047619047628</v>
      </c>
      <c r="T62" s="7" t="str" cm="1">
        <f t="array" ref="T62">_xlfn.IFS(Q61&gt;=8,"Excellent",Q61&gt;=6,"Good",Q61&gt;=4,"Average",TRUE,"Poor")</f>
        <v>Excellent</v>
      </c>
      <c r="U62" s="9">
        <f t="shared" si="2"/>
        <v>5.9709861958575792E-4</v>
      </c>
      <c r="V62" s="7" t="str" cm="1">
        <f t="array" ref="V62">_xlfn.IFS(HOUR(L61)&lt;12,"Morning",HOUR(L61)&lt;17,"Afternoon",HOUR(L61)&lt;21,"Evening",TRUE,"Night")</f>
        <v>Evening</v>
      </c>
    </row>
    <row r="63" spans="1:22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  <c r="R63" s="5" t="str">
        <f t="shared" si="0"/>
        <v>Low Sale</v>
      </c>
      <c r="S63" s="7">
        <f t="shared" si="1"/>
        <v>4.7619047619047619</v>
      </c>
      <c r="T63" s="7" t="str" cm="1">
        <f t="array" ref="T63">_xlfn.IFS(Q62&gt;=8,"Excellent",Q62&gt;=6,"Good",Q62&gt;=4,"Average",TRUE,"Poor")</f>
        <v>Excellent</v>
      </c>
      <c r="U63" s="9">
        <f t="shared" si="2"/>
        <v>2.4129728599398318E-4</v>
      </c>
      <c r="V63" s="7" t="str" cm="1">
        <f t="array" ref="V63">_xlfn.IFS(HOUR(L62)&lt;12,"Morning",HOUR(L62)&lt;17,"Afternoon",HOUR(L62)&lt;21,"Evening",TRUE,"Night")</f>
        <v>Evening</v>
      </c>
    </row>
    <row r="64" spans="1:22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  <c r="R64" s="5" t="str">
        <f t="shared" si="0"/>
        <v>Low Sale</v>
      </c>
      <c r="S64" s="7">
        <f t="shared" si="1"/>
        <v>4.7619047619047628</v>
      </c>
      <c r="T64" s="7" t="str" cm="1">
        <f t="array" ref="T64">_xlfn.IFS(Q63&gt;=8,"Excellent",Q63&gt;=6,"Good",Q63&gt;=4,"Average",TRUE,"Poor")</f>
        <v>Good</v>
      </c>
      <c r="U64" s="9">
        <f t="shared" si="2"/>
        <v>1.0871057193568862E-3</v>
      </c>
      <c r="V64" s="7" t="str" cm="1">
        <f t="array" ref="V64">_xlfn.IFS(HOUR(L63)&lt;12,"Morning",HOUR(L63)&lt;17,"Afternoon",HOUR(L63)&lt;21,"Evening",TRUE,"Night")</f>
        <v>Morning</v>
      </c>
    </row>
    <row r="65" spans="1:22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  <c r="R65" s="5" t="str">
        <f t="shared" si="0"/>
        <v>Medium Sale</v>
      </c>
      <c r="S65" s="7">
        <f t="shared" si="1"/>
        <v>4.7619047619047619</v>
      </c>
      <c r="T65" s="7" t="str" cm="1">
        <f t="array" ref="T65">_xlfn.IFS(Q64&gt;=8,"Excellent",Q64&gt;=6,"Good",Q64&gt;=4,"Average",TRUE,"Poor")</f>
        <v>Excellent</v>
      </c>
      <c r="U65" s="9">
        <f t="shared" si="2"/>
        <v>1.6113469934949864E-3</v>
      </c>
      <c r="V65" s="7" t="str" cm="1">
        <f t="array" ref="V65">_xlfn.IFS(HOUR(L64)&lt;12,"Morning",HOUR(L64)&lt;17,"Afternoon",HOUR(L64)&lt;21,"Evening",TRUE,"Night")</f>
        <v>Afternoon</v>
      </c>
    </row>
    <row r="66" spans="1:22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  <c r="R66" s="5" t="str">
        <f t="shared" si="0"/>
        <v>Low Sale</v>
      </c>
      <c r="S66" s="7">
        <f t="shared" si="1"/>
        <v>4.7619047619047628</v>
      </c>
      <c r="T66" s="7" t="str" cm="1">
        <f t="array" ref="T66">_xlfn.IFS(Q65&gt;=8,"Excellent",Q65&gt;=6,"Good",Q65&gt;=4,"Average",TRUE,"Poor")</f>
        <v>Excellent</v>
      </c>
      <c r="U66" s="9">
        <f t="shared" si="2"/>
        <v>5.1400028180609997E-4</v>
      </c>
      <c r="V66" s="7" t="str" cm="1">
        <f t="array" ref="V66">_xlfn.IFS(HOUR(L65)&lt;12,"Morning",HOUR(L65)&lt;17,"Afternoon",HOUR(L65)&lt;21,"Evening",TRUE,"Night")</f>
        <v>Afternoon</v>
      </c>
    </row>
    <row r="67" spans="1:22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  <c r="R67" s="5" t="str">
        <f t="shared" si="0"/>
        <v>Low Sale</v>
      </c>
      <c r="S67" s="7">
        <f t="shared" si="1"/>
        <v>4.7619047619047619</v>
      </c>
      <c r="T67" s="7" t="str" cm="1">
        <f t="array" ref="T67">_xlfn.IFS(Q66&gt;=8,"Excellent",Q66&gt;=6,"Good",Q66&gt;=4,"Average",TRUE,"Poor")</f>
        <v>Good</v>
      </c>
      <c r="U67" s="9">
        <f t="shared" si="2"/>
        <v>9.8495588473103131E-4</v>
      </c>
      <c r="V67" s="7" t="str" cm="1">
        <f t="array" ref="V67">_xlfn.IFS(HOUR(L66)&lt;12,"Morning",HOUR(L66)&lt;17,"Afternoon",HOUR(L66)&lt;21,"Evening",TRUE,"Night")</f>
        <v>Afternoon</v>
      </c>
    </row>
    <row r="68" spans="1:22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  <c r="R68" s="5" t="str">
        <f t="shared" ref="R68:R131" si="3">IF(J67&gt;=1000,"High Sale",IF(J67&gt;=500,"Medium Sale","Low Sale"))</f>
        <v>Low Sale</v>
      </c>
      <c r="S68" s="7">
        <f t="shared" ref="S68:S131" si="4">(P67/J67)*100</f>
        <v>4.7619047619047619</v>
      </c>
      <c r="T68" s="7" t="str" cm="1">
        <f t="array" ref="T68">_xlfn.IFS(Q67&gt;=8,"Excellent",Q67&gt;=6,"Good",Q67&gt;=4,"Average",TRUE,"Poor")</f>
        <v>Average</v>
      </c>
      <c r="U68" s="9">
        <f t="shared" ref="U68:U131" si="5">J67/SUM($J$2:$J$1001)</f>
        <v>5.1595094701219527E-4</v>
      </c>
      <c r="V68" s="7" t="str" cm="1">
        <f t="array" ref="V68">_xlfn.IFS(HOUR(L67)&lt;12,"Morning",HOUR(L67)&lt;17,"Afternoon",HOUR(L67)&lt;21,"Evening",TRUE,"Night")</f>
        <v>Afternoon</v>
      </c>
    </row>
    <row r="69" spans="1:22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  <c r="R69" s="5" t="str">
        <f t="shared" si="3"/>
        <v>Low Sale</v>
      </c>
      <c r="S69" s="7">
        <f t="shared" si="4"/>
        <v>4.7619047619047619</v>
      </c>
      <c r="T69" s="7" t="str" cm="1">
        <f t="array" ref="T69">_xlfn.IFS(Q68&gt;=8,"Excellent",Q68&gt;=6,"Good",Q68&gt;=4,"Average",TRUE,"Poor")</f>
        <v>Good</v>
      </c>
      <c r="U69" s="9">
        <f t="shared" si="5"/>
        <v>2.1762921482669409E-4</v>
      </c>
      <c r="V69" s="7" t="str" cm="1">
        <f t="array" ref="V69">_xlfn.IFS(HOUR(L68)&lt;12,"Morning",HOUR(L68)&lt;17,"Afternoon",HOUR(L68)&lt;21,"Evening",TRUE,"Night")</f>
        <v>Afternoon</v>
      </c>
    </row>
    <row r="70" spans="1:22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  <c r="R70" s="5" t="str">
        <f t="shared" si="3"/>
        <v>Medium Sale</v>
      </c>
      <c r="S70" s="7">
        <f t="shared" si="4"/>
        <v>4.7619047619047628</v>
      </c>
      <c r="T70" s="7" t="str" cm="1">
        <f t="array" ref="T70">_xlfn.IFS(Q69&gt;=8,"Excellent",Q69&gt;=6,"Good",Q69&gt;=4,"Average",TRUE,"Poor")</f>
        <v>Excellent</v>
      </c>
      <c r="U70" s="9">
        <f t="shared" si="5"/>
        <v>1.9040443076695794E-3</v>
      </c>
      <c r="V70" s="7" t="str" cm="1">
        <f t="array" ref="V70">_xlfn.IFS(HOUR(L69)&lt;12,"Morning",HOUR(L69)&lt;17,"Afternoon",HOUR(L69)&lt;21,"Evening",TRUE,"Night")</f>
        <v>Afternoon</v>
      </c>
    </row>
    <row r="71" spans="1:22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  <c r="R71" s="5" t="str">
        <f t="shared" si="3"/>
        <v>Medium Sale</v>
      </c>
      <c r="S71" s="7">
        <f t="shared" si="4"/>
        <v>4.7619047619047619</v>
      </c>
      <c r="T71" s="7" t="str" cm="1">
        <f t="array" ref="T71">_xlfn.IFS(Q70&gt;=8,"Excellent",Q70&gt;=6,"Good",Q70&gt;=4,"Average",TRUE,"Poor")</f>
        <v>Good</v>
      </c>
      <c r="U71" s="9">
        <f t="shared" si="5"/>
        <v>2.5608983047353891E-3</v>
      </c>
      <c r="V71" s="7" t="str" cm="1">
        <f t="array" ref="V71">_xlfn.IFS(HOUR(L70)&lt;12,"Morning",HOUR(L70)&lt;17,"Afternoon",HOUR(L70)&lt;21,"Evening",TRUE,"Night")</f>
        <v>Morning</v>
      </c>
    </row>
    <row r="72" spans="1:22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  <c r="R72" s="5" t="str">
        <f t="shared" si="3"/>
        <v>Low Sale</v>
      </c>
      <c r="S72" s="7">
        <f t="shared" si="4"/>
        <v>4.7619047619047619</v>
      </c>
      <c r="T72" s="7" t="str" cm="1">
        <f t="array" ref="T72">_xlfn.IFS(Q71&gt;=8,"Excellent",Q71&gt;=6,"Good",Q71&gt;=4,"Average",TRUE,"Poor")</f>
        <v>Average</v>
      </c>
      <c r="U72" s="9">
        <f t="shared" si="5"/>
        <v>5.9592822046210082E-5</v>
      </c>
      <c r="V72" s="7" t="str" cm="1">
        <f t="array" ref="V72">_xlfn.IFS(HOUR(L71)&lt;12,"Morning",HOUR(L71)&lt;17,"Afternoon",HOUR(L71)&lt;21,"Evening",TRUE,"Night")</f>
        <v>Evening</v>
      </c>
    </row>
    <row r="73" spans="1:22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  <c r="R73" s="5" t="str">
        <f t="shared" si="3"/>
        <v>Medium Sale</v>
      </c>
      <c r="S73" s="7">
        <f t="shared" si="4"/>
        <v>4.7619047619047628</v>
      </c>
      <c r="T73" s="7" t="str" cm="1">
        <f t="array" ref="T73">_xlfn.IFS(Q72&gt;=8,"Excellent",Q72&gt;=6,"Good",Q72&gt;=4,"Average",TRUE,"Poor")</f>
        <v>Excellent</v>
      </c>
      <c r="U73" s="9">
        <f t="shared" si="5"/>
        <v>2.909092044023392E-3</v>
      </c>
      <c r="V73" s="7" t="str" cm="1">
        <f t="array" ref="V73">_xlfn.IFS(HOUR(L72)&lt;12,"Morning",HOUR(L72)&lt;17,"Afternoon",HOUR(L72)&lt;21,"Evening",TRUE,"Night")</f>
        <v>Afternoon</v>
      </c>
    </row>
    <row r="74" spans="1:22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  <c r="R74" s="5" t="str">
        <f t="shared" si="3"/>
        <v>Medium Sale</v>
      </c>
      <c r="S74" s="7">
        <f t="shared" si="4"/>
        <v>4.7619047619047619</v>
      </c>
      <c r="T74" s="7" t="str" cm="1">
        <f t="array" ref="T74">_xlfn.IFS(Q73&gt;=8,"Excellent",Q73&gt;=6,"Good",Q73&gt;=4,"Average",TRUE,"Poor")</f>
        <v>Average</v>
      </c>
      <c r="U74" s="9">
        <f t="shared" si="5"/>
        <v>2.0195887100439552E-3</v>
      </c>
      <c r="V74" s="7" t="str" cm="1">
        <f t="array" ref="V74">_xlfn.IFS(HOUR(L73)&lt;12,"Morning",HOUR(L73)&lt;17,"Afternoon",HOUR(L73)&lt;21,"Evening",TRUE,"Night")</f>
        <v>Afternoon</v>
      </c>
    </row>
    <row r="75" spans="1:22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  <c r="R75" s="5" t="str">
        <f t="shared" si="3"/>
        <v>Low Sale</v>
      </c>
      <c r="S75" s="7">
        <f t="shared" si="4"/>
        <v>4.7619047619047619</v>
      </c>
      <c r="T75" s="7" t="str" cm="1">
        <f t="array" ref="T75">_xlfn.IFS(Q74&gt;=8,"Excellent",Q74&gt;=6,"Good",Q74&gt;=4,"Average",TRUE,"Poor")</f>
        <v>Average</v>
      </c>
      <c r="U75" s="9">
        <f t="shared" si="5"/>
        <v>4.7323137899870911E-4</v>
      </c>
      <c r="V75" s="7" t="str" cm="1">
        <f t="array" ref="V75">_xlfn.IFS(HOUR(L74)&lt;12,"Morning",HOUR(L74)&lt;17,"Afternoon",HOUR(L74)&lt;21,"Evening",TRUE,"Night")</f>
        <v>Evening</v>
      </c>
    </row>
    <row r="76" spans="1:22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  <c r="R76" s="5" t="str">
        <f t="shared" si="3"/>
        <v>Low Sale</v>
      </c>
      <c r="S76" s="7">
        <f t="shared" si="4"/>
        <v>4.7619047619047619</v>
      </c>
      <c r="T76" s="7" t="str" cm="1">
        <f t="array" ref="T76">_xlfn.IFS(Q75&gt;=8,"Excellent",Q75&gt;=6,"Good",Q75&gt;=4,"Average",TRUE,"Poor")</f>
        <v>Excellent</v>
      </c>
      <c r="U76" s="9">
        <f t="shared" si="5"/>
        <v>1.480749957946909E-3</v>
      </c>
      <c r="V76" s="7" t="str" cm="1">
        <f t="array" ref="V76">_xlfn.IFS(HOUR(L75)&lt;12,"Morning",HOUR(L75)&lt;17,"Afternoon",HOUR(L75)&lt;21,"Evening",TRUE,"Night")</f>
        <v>Evening</v>
      </c>
    </row>
    <row r="77" spans="1:22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  <c r="R77" s="5" t="str">
        <f t="shared" si="3"/>
        <v>Medium Sale</v>
      </c>
      <c r="S77" s="7">
        <f t="shared" si="4"/>
        <v>4.7619047619047628</v>
      </c>
      <c r="T77" s="7" t="str" cm="1">
        <f t="array" ref="T77">_xlfn.IFS(Q76&gt;=8,"Excellent",Q76&gt;=6,"Good",Q76&gt;=4,"Average",TRUE,"Poor")</f>
        <v>Excellent</v>
      </c>
      <c r="U77" s="9">
        <f t="shared" si="5"/>
        <v>2.1848425640869917E-3</v>
      </c>
      <c r="V77" s="7" t="str" cm="1">
        <f t="array" ref="V77">_xlfn.IFS(HOUR(L76)&lt;12,"Morning",HOUR(L76)&lt;17,"Afternoon",HOUR(L76)&lt;21,"Evening",TRUE,"Night")</f>
        <v>Morning</v>
      </c>
    </row>
    <row r="78" spans="1:22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  <c r="R78" s="5" t="str">
        <f t="shared" si="3"/>
        <v>Low Sale</v>
      </c>
      <c r="S78" s="7">
        <f t="shared" si="4"/>
        <v>4.7619047619047619</v>
      </c>
      <c r="T78" s="7" t="str" cm="1">
        <f t="array" ref="T78">_xlfn.IFS(Q77&gt;=8,"Excellent",Q77&gt;=6,"Good",Q77&gt;=4,"Average",TRUE,"Poor")</f>
        <v>Average</v>
      </c>
      <c r="U78" s="9">
        <f t="shared" si="5"/>
        <v>1.3540867638977903E-3</v>
      </c>
      <c r="V78" s="7" t="str" cm="1">
        <f t="array" ref="V78">_xlfn.IFS(HOUR(L77)&lt;12,"Morning",HOUR(L77)&lt;17,"Afternoon",HOUR(L77)&lt;21,"Evening",TRUE,"Night")</f>
        <v>Evening</v>
      </c>
    </row>
    <row r="79" spans="1:22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  <c r="R79" s="5" t="str">
        <f t="shared" si="3"/>
        <v>Low Sale</v>
      </c>
      <c r="S79" s="7">
        <f t="shared" si="4"/>
        <v>4.7619047619047628</v>
      </c>
      <c r="T79" s="7" t="str" cm="1">
        <f t="array" ref="T79">_xlfn.IFS(Q78&gt;=8,"Excellent",Q78&gt;=6,"Good",Q78&gt;=4,"Average",TRUE,"Poor")</f>
        <v>Excellent</v>
      </c>
      <c r="U79" s="9">
        <f t="shared" si="5"/>
        <v>1.4349093256036704E-3</v>
      </c>
      <c r="V79" s="7" t="str" cm="1">
        <f t="array" ref="V79">_xlfn.IFS(HOUR(L78)&lt;12,"Morning",HOUR(L78)&lt;17,"Afternoon",HOUR(L78)&lt;21,"Evening",TRUE,"Night")</f>
        <v>Afternoon</v>
      </c>
    </row>
    <row r="80" spans="1:22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  <c r="R80" s="5" t="str">
        <f t="shared" si="3"/>
        <v>Low Sale</v>
      </c>
      <c r="S80" s="7">
        <f t="shared" si="4"/>
        <v>4.7619047619047619</v>
      </c>
      <c r="T80" s="7" t="str" cm="1">
        <f t="array" ref="T80">_xlfn.IFS(Q79&gt;=8,"Excellent",Q79&gt;=6,"Good",Q79&gt;=4,"Average",TRUE,"Poor")</f>
        <v>Average</v>
      </c>
      <c r="U80" s="9">
        <f t="shared" si="5"/>
        <v>5.8549216160949115E-4</v>
      </c>
      <c r="V80" s="7" t="str" cm="1">
        <f t="array" ref="V80">_xlfn.IFS(HOUR(L79)&lt;12,"Morning",HOUR(L79)&lt;17,"Afternoon",HOUR(L79)&lt;21,"Evening",TRUE,"Night")</f>
        <v>Afternoon</v>
      </c>
    </row>
    <row r="81" spans="1:22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  <c r="R81" s="5" t="str">
        <f t="shared" si="3"/>
        <v>Medium Sale</v>
      </c>
      <c r="S81" s="7">
        <f t="shared" si="4"/>
        <v>4.7619047619047628</v>
      </c>
      <c r="T81" s="7" t="str" cm="1">
        <f t="array" ref="T81">_xlfn.IFS(Q80&gt;=8,"Excellent",Q80&gt;=6,"Good",Q80&gt;=4,"Average",TRUE,"Poor")</f>
        <v>Good</v>
      </c>
      <c r="U81" s="9">
        <f t="shared" si="5"/>
        <v>2.545943204821992E-3</v>
      </c>
      <c r="V81" s="7" t="str" cm="1">
        <f t="array" ref="V81">_xlfn.IFS(HOUR(L80)&lt;12,"Morning",HOUR(L80)&lt;17,"Afternoon",HOUR(L80)&lt;21,"Evening",TRUE,"Night")</f>
        <v>Afternoon</v>
      </c>
    </row>
    <row r="82" spans="1:22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  <c r="R82" s="5" t="str">
        <f t="shared" si="3"/>
        <v>Low Sale</v>
      </c>
      <c r="S82" s="7">
        <f t="shared" si="4"/>
        <v>4.7619047619047619</v>
      </c>
      <c r="T82" s="7" t="str" cm="1">
        <f t="array" ref="T82">_xlfn.IFS(Q81&gt;=8,"Excellent",Q81&gt;=6,"Good",Q81&gt;=4,"Average",TRUE,"Poor")</f>
        <v>Good</v>
      </c>
      <c r="U82" s="9">
        <f t="shared" si="5"/>
        <v>3.3128797416851104E-4</v>
      </c>
      <c r="V82" s="7" t="str" cm="1">
        <f t="array" ref="V82">_xlfn.IFS(HOUR(L81)&lt;12,"Morning",HOUR(L81)&lt;17,"Afternoon",HOUR(L81)&lt;21,"Evening",TRUE,"Night")</f>
        <v>Evening</v>
      </c>
    </row>
    <row r="83" spans="1:22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  <c r="R83" s="5" t="str">
        <f t="shared" si="3"/>
        <v>Medium Sale</v>
      </c>
      <c r="S83" s="7">
        <f t="shared" si="4"/>
        <v>4.7619047619047619</v>
      </c>
      <c r="T83" s="7" t="str" cm="1">
        <f t="array" ref="T83">_xlfn.IFS(Q82&gt;=8,"Excellent",Q82&gt;=6,"Good",Q82&gt;=4,"Average",TRUE,"Poor")</f>
        <v>Average</v>
      </c>
      <c r="U83" s="9">
        <f t="shared" si="5"/>
        <v>1.9348648179258847E-3</v>
      </c>
      <c r="V83" s="7" t="str" cm="1">
        <f t="array" ref="V83">_xlfn.IFS(HOUR(L82)&lt;12,"Morning",HOUR(L82)&lt;17,"Afternoon",HOUR(L82)&lt;21,"Evening",TRUE,"Night")</f>
        <v>Afternoon</v>
      </c>
    </row>
    <row r="84" spans="1:22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  <c r="R84" s="5" t="str">
        <f t="shared" si="3"/>
        <v>Low Sale</v>
      </c>
      <c r="S84" s="7">
        <f t="shared" si="4"/>
        <v>4.7619047619047628</v>
      </c>
      <c r="T84" s="7" t="str" cm="1">
        <f t="array" ref="T84">_xlfn.IFS(Q83&gt;=8,"Excellent",Q83&gt;=6,"Good",Q83&gt;=4,"Average",TRUE,"Poor")</f>
        <v>Good</v>
      </c>
      <c r="U84" s="9">
        <f t="shared" si="5"/>
        <v>9.4295156062644677E-4</v>
      </c>
      <c r="V84" s="7" t="str" cm="1">
        <f t="array" ref="V84">_xlfn.IFS(HOUR(L83)&lt;12,"Morning",HOUR(L83)&lt;17,"Afternoon",HOUR(L83)&lt;21,"Evening",TRUE,"Night")</f>
        <v>Evening</v>
      </c>
    </row>
    <row r="85" spans="1:22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  <c r="R85" s="5" t="str">
        <f t="shared" si="3"/>
        <v>Low Sale</v>
      </c>
      <c r="S85" s="7">
        <f t="shared" si="4"/>
        <v>4.7619047619047628</v>
      </c>
      <c r="T85" s="7" t="str" cm="1">
        <f t="array" ref="T85">_xlfn.IFS(Q84&gt;=8,"Excellent",Q84&gt;=6,"Good",Q84&gt;=4,"Average",TRUE,"Poor")</f>
        <v>Good</v>
      </c>
      <c r="U85" s="9">
        <f t="shared" si="5"/>
        <v>5.0067073623111572E-4</v>
      </c>
      <c r="V85" s="7" t="str" cm="1">
        <f t="array" ref="V85">_xlfn.IFS(HOUR(L84)&lt;12,"Morning",HOUR(L84)&lt;17,"Afternoon",HOUR(L84)&lt;21,"Evening",TRUE,"Night")</f>
        <v>Evening</v>
      </c>
    </row>
    <row r="86" spans="1:22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  <c r="R86" s="5" t="str">
        <f t="shared" si="3"/>
        <v>Low Sale</v>
      </c>
      <c r="S86" s="7">
        <f t="shared" si="4"/>
        <v>4.7619047619047619</v>
      </c>
      <c r="T86" s="7" t="str" cm="1">
        <f t="array" ref="T86">_xlfn.IFS(Q85&gt;=8,"Excellent",Q85&gt;=6,"Good",Q85&gt;=4,"Average",TRUE,"Poor")</f>
        <v>Excellent</v>
      </c>
      <c r="U86" s="9">
        <f t="shared" si="5"/>
        <v>1.0450363730787652E-3</v>
      </c>
      <c r="V86" s="7" t="str" cm="1">
        <f t="array" ref="V86">_xlfn.IFS(HOUR(L85)&lt;12,"Morning",HOUR(L85)&lt;17,"Afternoon",HOUR(L85)&lt;21,"Evening",TRUE,"Night")</f>
        <v>Evening</v>
      </c>
    </row>
    <row r="87" spans="1:22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  <c r="R87" s="5" t="str">
        <f t="shared" si="3"/>
        <v>Low Sale</v>
      </c>
      <c r="S87" s="7">
        <f t="shared" si="4"/>
        <v>4.7619047619047628</v>
      </c>
      <c r="T87" s="7" t="str" cm="1">
        <f t="array" ref="T87">_xlfn.IFS(Q86&gt;=8,"Excellent",Q86&gt;=6,"Good",Q86&gt;=4,"Average",TRUE,"Poor")</f>
        <v>Good</v>
      </c>
      <c r="U87" s="9">
        <f t="shared" si="5"/>
        <v>7.9505862691765805E-4</v>
      </c>
      <c r="V87" s="7" t="str" cm="1">
        <f t="array" ref="V87">_xlfn.IFS(HOUR(L86)&lt;12,"Morning",HOUR(L86)&lt;17,"Afternoon",HOUR(L86)&lt;21,"Evening",TRUE,"Night")</f>
        <v>Morning</v>
      </c>
    </row>
    <row r="88" spans="1:22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  <c r="R88" s="5" t="str">
        <f t="shared" si="3"/>
        <v>Medium Sale</v>
      </c>
      <c r="S88" s="7">
        <f t="shared" si="4"/>
        <v>4.7619047619047628</v>
      </c>
      <c r="T88" s="7" t="str" cm="1">
        <f t="array" ref="T88">_xlfn.IFS(Q87&gt;=8,"Excellent",Q87&gt;=6,"Good",Q87&gt;=4,"Average",TRUE,"Poor")</f>
        <v>Average</v>
      </c>
      <c r="U88" s="9">
        <f t="shared" si="5"/>
        <v>1.8902596068798396E-3</v>
      </c>
      <c r="V88" s="7" t="str" cm="1">
        <f t="array" ref="V88">_xlfn.IFS(HOUR(L87)&lt;12,"Morning",HOUR(L87)&lt;17,"Afternoon",HOUR(L87)&lt;21,"Evening",TRUE,"Night")</f>
        <v>Afternoon</v>
      </c>
    </row>
    <row r="89" spans="1:22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  <c r="R89" s="5" t="str">
        <f t="shared" si="3"/>
        <v>Low Sale</v>
      </c>
      <c r="S89" s="7">
        <f t="shared" si="4"/>
        <v>4.7619047619047619</v>
      </c>
      <c r="T89" s="7" t="str" cm="1">
        <f t="array" ref="T89">_xlfn.IFS(Q88&gt;=8,"Excellent",Q88&gt;=6,"Good",Q88&gt;=4,"Average",TRUE,"Poor")</f>
        <v>Excellent</v>
      </c>
      <c r="U89" s="9">
        <f t="shared" si="5"/>
        <v>1.2438741797534084E-3</v>
      </c>
      <c r="V89" s="7" t="str" cm="1">
        <f t="array" ref="V89">_xlfn.IFS(HOUR(L88)&lt;12,"Morning",HOUR(L88)&lt;17,"Afternoon",HOUR(L88)&lt;21,"Evening",TRUE,"Night")</f>
        <v>Morning</v>
      </c>
    </row>
    <row r="90" spans="1:22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  <c r="R90" s="5" t="str">
        <f t="shared" si="3"/>
        <v>Low Sale</v>
      </c>
      <c r="S90" s="7">
        <f t="shared" si="4"/>
        <v>4.7619047619047628</v>
      </c>
      <c r="T90" s="7" t="str" cm="1">
        <f t="array" ref="T90">_xlfn.IFS(Q89&gt;=8,"Excellent",Q89&gt;=6,"Good",Q89&gt;=4,"Average",TRUE,"Poor")</f>
        <v>Good</v>
      </c>
      <c r="U90" s="9">
        <f t="shared" si="5"/>
        <v>1.1237782252314771E-3</v>
      </c>
      <c r="V90" s="7" t="str" cm="1">
        <f t="array" ref="V90">_xlfn.IFS(HOUR(L89)&lt;12,"Morning",HOUR(L89)&lt;17,"Afternoon",HOUR(L89)&lt;21,"Evening",TRUE,"Night")</f>
        <v>Evening</v>
      </c>
    </row>
    <row r="91" spans="1:22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  <c r="R91" s="5" t="str">
        <f t="shared" si="3"/>
        <v>Low Sale</v>
      </c>
      <c r="S91" s="7">
        <f t="shared" si="4"/>
        <v>4.7619047619047619</v>
      </c>
      <c r="T91" s="7" t="str" cm="1">
        <f t="array" ref="T91">_xlfn.IFS(Q90&gt;=8,"Excellent",Q90&gt;=6,"Good",Q90&gt;=4,"Average",TRUE,"Poor")</f>
        <v>Average</v>
      </c>
      <c r="U91" s="9">
        <f t="shared" si="5"/>
        <v>1.3807458550477587E-4</v>
      </c>
      <c r="V91" s="7" t="str" cm="1">
        <f t="array" ref="V91">_xlfn.IFS(HOUR(L90)&lt;12,"Morning",HOUR(L90)&lt;17,"Afternoon",HOUR(L90)&lt;21,"Evening",TRUE,"Night")</f>
        <v>Afternoon</v>
      </c>
    </row>
    <row r="92" spans="1:22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  <c r="R92" s="5" t="str">
        <f t="shared" si="3"/>
        <v>Low Sale</v>
      </c>
      <c r="S92" s="7">
        <f t="shared" si="4"/>
        <v>4.7619047619047628</v>
      </c>
      <c r="T92" s="7" t="str" cm="1">
        <f t="array" ref="T92">_xlfn.IFS(Q91&gt;=8,"Excellent",Q91&gt;=6,"Good",Q91&gt;=4,"Average",TRUE,"Poor")</f>
        <v>Good</v>
      </c>
      <c r="U92" s="9">
        <f t="shared" si="5"/>
        <v>1.5018171421727377E-3</v>
      </c>
      <c r="V92" s="7" t="str" cm="1">
        <f t="array" ref="V92">_xlfn.IFS(HOUR(L91)&lt;12,"Morning",HOUR(L91)&lt;17,"Afternoon",HOUR(L91)&lt;21,"Evening",TRUE,"Night")</f>
        <v>Evening</v>
      </c>
    </row>
    <row r="93" spans="1:22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  <c r="R93" s="5" t="str">
        <f t="shared" si="3"/>
        <v>Low Sale</v>
      </c>
      <c r="S93" s="7">
        <f t="shared" si="4"/>
        <v>4.7619047619047628</v>
      </c>
      <c r="T93" s="7" t="str" cm="1">
        <f t="array" ref="T93">_xlfn.IFS(Q92&gt;=8,"Excellent",Q92&gt;=6,"Good",Q92&gt;=4,"Average",TRUE,"Poor")</f>
        <v>Good</v>
      </c>
      <c r="U93" s="9">
        <f t="shared" si="5"/>
        <v>6.1615011643195499E-4</v>
      </c>
      <c r="V93" s="7" t="str" cm="1">
        <f t="array" ref="V93">_xlfn.IFS(HOUR(L92)&lt;12,"Morning",HOUR(L92)&lt;17,"Afternoon",HOUR(L92)&lt;21,"Evening",TRUE,"Night")</f>
        <v>Morning</v>
      </c>
    </row>
    <row r="94" spans="1:22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5" t="str">
        <f t="shared" si="3"/>
        <v>Low Sale</v>
      </c>
      <c r="S94" s="7">
        <f t="shared" si="4"/>
        <v>4.7619047619047628</v>
      </c>
      <c r="T94" s="7" t="str" cm="1">
        <f t="array" ref="T94">_xlfn.IFS(Q93&gt;=8,"Excellent",Q93&gt;=6,"Good",Q93&gt;=4,"Average",TRUE,"Poor")</f>
        <v>Excellent</v>
      </c>
      <c r="U94" s="9">
        <f t="shared" si="5"/>
        <v>1.4584473524238864E-3</v>
      </c>
      <c r="V94" s="7" t="str" cm="1">
        <f t="array" ref="V94">_xlfn.IFS(HOUR(L93)&lt;12,"Morning",HOUR(L93)&lt;17,"Afternoon",HOUR(L93)&lt;21,"Evening",TRUE,"Night")</f>
        <v>Evening</v>
      </c>
    </row>
    <row r="95" spans="1:22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  <c r="R95" s="5" t="str">
        <f t="shared" si="3"/>
        <v>Low Sale</v>
      </c>
      <c r="S95" s="7">
        <f t="shared" si="4"/>
        <v>4.7619047619047619</v>
      </c>
      <c r="T95" s="7" t="str" cm="1">
        <f t="array" ref="T95">_xlfn.IFS(Q94&gt;=8,"Excellent",Q94&gt;=6,"Good",Q94&gt;=4,"Average",TRUE,"Poor")</f>
        <v>Average</v>
      </c>
      <c r="U95" s="9">
        <f t="shared" si="5"/>
        <v>5.0021558101636017E-4</v>
      </c>
      <c r="V95" s="7" t="str" cm="1">
        <f t="array" ref="V95">_xlfn.IFS(HOUR(L94)&lt;12,"Morning",HOUR(L94)&lt;17,"Afternoon",HOUR(L94)&lt;21,"Evening",TRUE,"Night")</f>
        <v>Afternoon</v>
      </c>
    </row>
    <row r="96" spans="1:22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  <c r="R96" s="5" t="str">
        <f t="shared" si="3"/>
        <v>Medium Sale</v>
      </c>
      <c r="S96" s="7">
        <f t="shared" si="4"/>
        <v>4.7619047619047619</v>
      </c>
      <c r="T96" s="7" t="str" cm="1">
        <f t="array" ref="T96">_xlfn.IFS(Q95&gt;=8,"Excellent",Q95&gt;=6,"Good",Q95&gt;=4,"Average",TRUE,"Poor")</f>
        <v>Excellent</v>
      </c>
      <c r="U96" s="9">
        <f t="shared" si="5"/>
        <v>1.8831721899643602E-3</v>
      </c>
      <c r="V96" s="7" t="str" cm="1">
        <f t="array" ref="V96">_xlfn.IFS(HOUR(L95)&lt;12,"Morning",HOUR(L95)&lt;17,"Afternoon",HOUR(L95)&lt;21,"Evening",TRUE,"Night")</f>
        <v>Afternoon</v>
      </c>
    </row>
    <row r="97" spans="1:22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  <c r="R97" s="5" t="str">
        <f t="shared" si="3"/>
        <v>Low Sale</v>
      </c>
      <c r="S97" s="7">
        <f t="shared" si="4"/>
        <v>4.7619047619047619</v>
      </c>
      <c r="T97" s="7" t="str" cm="1">
        <f t="array" ref="T97">_xlfn.IFS(Q96&gt;=8,"Excellent",Q96&gt;=6,"Good",Q96&gt;=4,"Average",TRUE,"Poor")</f>
        <v>Good</v>
      </c>
      <c r="U97" s="9">
        <f t="shared" si="5"/>
        <v>2.9178700374508205E-4</v>
      </c>
      <c r="V97" s="7" t="str" cm="1">
        <f t="array" ref="V97">_xlfn.IFS(HOUR(L96)&lt;12,"Morning",HOUR(L96)&lt;17,"Afternoon",HOUR(L96)&lt;21,"Evening",TRUE,"Night")</f>
        <v>Evening</v>
      </c>
    </row>
    <row r="98" spans="1:22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  <c r="R98" s="5" t="str">
        <f t="shared" si="3"/>
        <v>Low Sale</v>
      </c>
      <c r="S98" s="7">
        <f t="shared" si="4"/>
        <v>4.7619047619047619</v>
      </c>
      <c r="T98" s="7" t="str" cm="1">
        <f t="array" ref="T98">_xlfn.IFS(Q97&gt;=8,"Excellent",Q97&gt;=6,"Good",Q97&gt;=4,"Average",TRUE,"Poor")</f>
        <v>Good</v>
      </c>
      <c r="U98" s="9">
        <f t="shared" si="5"/>
        <v>3.158777190403585E-4</v>
      </c>
      <c r="V98" s="7" t="str" cm="1">
        <f t="array" ref="V98">_xlfn.IFS(HOUR(L97)&lt;12,"Morning",HOUR(L97)&lt;17,"Afternoon",HOUR(L97)&lt;21,"Evening",TRUE,"Night")</f>
        <v>Evening</v>
      </c>
    </row>
    <row r="99" spans="1:22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  <c r="R99" s="5" t="str">
        <f t="shared" si="3"/>
        <v>Medium Sale</v>
      </c>
      <c r="S99" s="7">
        <f t="shared" si="4"/>
        <v>4.7619047619047628</v>
      </c>
      <c r="T99" s="7" t="str" cm="1">
        <f t="array" ref="T99">_xlfn.IFS(Q98&gt;=8,"Excellent",Q98&gt;=6,"Good",Q98&gt;=4,"Average",TRUE,"Poor")</f>
        <v>Average</v>
      </c>
      <c r="U99" s="9">
        <f t="shared" si="5"/>
        <v>2.8567491943265028E-3</v>
      </c>
      <c r="V99" s="7" t="str" cm="1">
        <f t="array" ref="V99">_xlfn.IFS(HOUR(L98)&lt;12,"Morning",HOUR(L98)&lt;17,"Afternoon",HOUR(L98)&lt;21,"Evening",TRUE,"Night")</f>
        <v>Morning</v>
      </c>
    </row>
    <row r="100" spans="1:22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5" t="str">
        <f t="shared" si="3"/>
        <v>Low Sale</v>
      </c>
      <c r="S100" s="7">
        <f t="shared" si="4"/>
        <v>4.7619047619047619</v>
      </c>
      <c r="T100" s="7" t="str" cm="1">
        <f t="array" ref="T100">_xlfn.IFS(Q99&gt;=8,"Excellent",Q99&gt;=6,"Good",Q99&gt;=4,"Average",TRUE,"Poor")</f>
        <v>Average</v>
      </c>
      <c r="U100" s="9">
        <f t="shared" si="5"/>
        <v>2.428578181588594E-4</v>
      </c>
      <c r="V100" s="7" t="str" cm="1">
        <f t="array" ref="V100">_xlfn.IFS(HOUR(L99)&lt;12,"Morning",HOUR(L99)&lt;17,"Afternoon",HOUR(L99)&lt;21,"Evening",TRUE,"Night")</f>
        <v>Afternoon</v>
      </c>
    </row>
    <row r="101" spans="1:22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  <c r="R101" s="5" t="str">
        <f t="shared" si="3"/>
        <v>Low Sale</v>
      </c>
      <c r="S101" s="7">
        <f t="shared" si="4"/>
        <v>4.7619047619047619</v>
      </c>
      <c r="T101" s="7" t="str" cm="1">
        <f t="array" ref="T101">_xlfn.IFS(Q100&gt;=8,"Excellent",Q100&gt;=6,"Good",Q100&gt;=4,"Average",TRUE,"Poor")</f>
        <v>Excellent</v>
      </c>
      <c r="U101" s="9">
        <f t="shared" si="5"/>
        <v>5.1448794810762376E-4</v>
      </c>
      <c r="V101" s="7" t="str" cm="1">
        <f t="array" ref="V101">_xlfn.IFS(HOUR(L100)&lt;12,"Morning",HOUR(L100)&lt;17,"Afternoon",HOUR(L100)&lt;21,"Evening",TRUE,"Night")</f>
        <v>Morning</v>
      </c>
    </row>
    <row r="102" spans="1:22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5" t="str">
        <f t="shared" si="3"/>
        <v>Medium Sale</v>
      </c>
      <c r="S102" s="7">
        <f t="shared" si="4"/>
        <v>4.7619047619047619</v>
      </c>
      <c r="T102" s="7" t="str" cm="1">
        <f t="array" ref="T102">_xlfn.IFS(Q101&gt;=8,"Excellent",Q101&gt;=6,"Good",Q101&gt;=4,"Average",TRUE,"Poor")</f>
        <v>Good</v>
      </c>
      <c r="U102" s="9">
        <f t="shared" si="5"/>
        <v>1.6132001254407769E-3</v>
      </c>
      <c r="V102" s="7" t="str" cm="1">
        <f t="array" ref="V102">_xlfn.IFS(HOUR(L101)&lt;12,"Morning",HOUR(L101)&lt;17,"Afternoon",HOUR(L101)&lt;21,"Evening",TRUE,"Night")</f>
        <v>Evening</v>
      </c>
    </row>
    <row r="103" spans="1:22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  <c r="R103" s="5" t="str">
        <f t="shared" si="3"/>
        <v>Low Sale</v>
      </c>
      <c r="S103" s="7">
        <f t="shared" si="4"/>
        <v>4.7619047619047628</v>
      </c>
      <c r="T103" s="7" t="str" cm="1">
        <f t="array" ref="T103">_xlfn.IFS(Q102&gt;=8,"Excellent",Q102&gt;=6,"Good",Q102&gt;=4,"Average",TRUE,"Poor")</f>
        <v>Average</v>
      </c>
      <c r="U103" s="9">
        <f t="shared" si="5"/>
        <v>1.5836150364816653E-4</v>
      </c>
      <c r="V103" s="7" t="str" cm="1">
        <f t="array" ref="V103">_xlfn.IFS(HOUR(L102)&lt;12,"Morning",HOUR(L102)&lt;17,"Afternoon",HOUR(L102)&lt;21,"Evening",TRUE,"Night")</f>
        <v>Evening</v>
      </c>
    </row>
    <row r="104" spans="1:22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5" t="str">
        <f t="shared" si="3"/>
        <v>Medium Sale</v>
      </c>
      <c r="S104" s="7">
        <f t="shared" si="4"/>
        <v>4.7619047619047619</v>
      </c>
      <c r="T104" s="7" t="str" cm="1">
        <f t="array" ref="T104">_xlfn.IFS(Q103&gt;=8,"Excellent",Q103&gt;=6,"Good",Q103&gt;=4,"Average",TRUE,"Poor")</f>
        <v>Good</v>
      </c>
      <c r="U104" s="9">
        <f t="shared" si="5"/>
        <v>2.2983712790817356E-3</v>
      </c>
      <c r="V104" s="7" t="str" cm="1">
        <f t="array" ref="V104">_xlfn.IFS(HOUR(L103)&lt;12,"Morning",HOUR(L103)&lt;17,"Afternoon",HOUR(L103)&lt;21,"Evening",TRUE,"Night")</f>
        <v>Afternoon</v>
      </c>
    </row>
    <row r="105" spans="1:22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  <c r="R105" s="5" t="str">
        <f t="shared" si="3"/>
        <v>Low Sale</v>
      </c>
      <c r="S105" s="7">
        <f t="shared" si="4"/>
        <v>4.7619047619047628</v>
      </c>
      <c r="T105" s="7" t="str" cm="1">
        <f t="array" ref="T105">_xlfn.IFS(Q104&gt;=8,"Excellent",Q104&gt;=6,"Good",Q104&gt;=4,"Average",TRUE,"Poor")</f>
        <v>Average</v>
      </c>
      <c r="U105" s="9">
        <f t="shared" si="5"/>
        <v>6.7502769456926346E-4</v>
      </c>
      <c r="V105" s="7" t="str" cm="1">
        <f t="array" ref="V105">_xlfn.IFS(HOUR(L104)&lt;12,"Morning",HOUR(L104)&lt;17,"Afternoon",HOUR(L104)&lt;21,"Evening",TRUE,"Night")</f>
        <v>Morning</v>
      </c>
    </row>
    <row r="106" spans="1:22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  <c r="R106" s="5" t="str">
        <f t="shared" si="3"/>
        <v>Low Sale</v>
      </c>
      <c r="S106" s="7">
        <f t="shared" si="4"/>
        <v>4.7619047619047628</v>
      </c>
      <c r="T106" s="7" t="str" cm="1">
        <f t="array" ref="T106">_xlfn.IFS(Q105&gt;=8,"Excellent",Q105&gt;=6,"Good",Q105&gt;=4,"Average",TRUE,"Poor")</f>
        <v>Excellent</v>
      </c>
      <c r="U106" s="9">
        <f t="shared" si="5"/>
        <v>1.1364575490710963E-3</v>
      </c>
      <c r="V106" s="7" t="str" cm="1">
        <f t="array" ref="V106">_xlfn.IFS(HOUR(L105)&lt;12,"Morning",HOUR(L105)&lt;17,"Afternoon",HOUR(L105)&lt;21,"Evening",TRUE,"Night")</f>
        <v>Afternoon</v>
      </c>
    </row>
    <row r="107" spans="1:22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  <c r="R107" s="5" t="str">
        <f t="shared" si="3"/>
        <v>Low Sale</v>
      </c>
      <c r="S107" s="7">
        <f t="shared" si="4"/>
        <v>4.7619047619047628</v>
      </c>
      <c r="T107" s="7" t="str" cm="1">
        <f t="array" ref="T107">_xlfn.IFS(Q106&gt;=8,"Excellent",Q106&gt;=6,"Good",Q106&gt;=4,"Average",TRUE,"Poor")</f>
        <v>Excellent</v>
      </c>
      <c r="U107" s="9">
        <f t="shared" si="5"/>
        <v>6.9069803839156196E-4</v>
      </c>
      <c r="V107" s="7" t="str" cm="1">
        <f t="array" ref="V107">_xlfn.IFS(HOUR(L106)&lt;12,"Morning",HOUR(L106)&lt;17,"Afternoon",HOUR(L106)&lt;21,"Evening",TRUE,"Night")</f>
        <v>Evening</v>
      </c>
    </row>
    <row r="108" spans="1:22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  <c r="R108" s="5" t="str">
        <f t="shared" si="3"/>
        <v>Medium Sale</v>
      </c>
      <c r="S108" s="7">
        <f t="shared" si="4"/>
        <v>4.7619047619047628</v>
      </c>
      <c r="T108" s="7" t="str" cm="1">
        <f t="array" ref="T108">_xlfn.IFS(Q107&gt;=8,"Excellent",Q107&gt;=6,"Good",Q107&gt;=4,"Average",TRUE,"Poor")</f>
        <v>Good</v>
      </c>
      <c r="U108" s="9">
        <f t="shared" si="5"/>
        <v>2.8827580637411062E-3</v>
      </c>
      <c r="V108" s="7" t="str" cm="1">
        <f t="array" ref="V108">_xlfn.IFS(HOUR(L107)&lt;12,"Morning",HOUR(L107)&lt;17,"Afternoon",HOUR(L107)&lt;21,"Evening",TRUE,"Night")</f>
        <v>Afternoon</v>
      </c>
    </row>
    <row r="109" spans="1:22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  <c r="R109" s="5" t="str">
        <f t="shared" si="3"/>
        <v>Low Sale</v>
      </c>
      <c r="S109" s="7">
        <f t="shared" si="4"/>
        <v>4.7619047619047628</v>
      </c>
      <c r="T109" s="7" t="str" cm="1">
        <f t="array" ref="T109">_xlfn.IFS(Q108&gt;=8,"Excellent",Q108&gt;=6,"Good",Q108&gt;=4,"Average",TRUE,"Poor")</f>
        <v>Good</v>
      </c>
      <c r="U109" s="9">
        <f t="shared" si="5"/>
        <v>5.3409213342888113E-4</v>
      </c>
      <c r="V109" s="7" t="str" cm="1">
        <f t="array" ref="V109">_xlfn.IFS(HOUR(L108)&lt;12,"Morning",HOUR(L108)&lt;17,"Afternoon",HOUR(L108)&lt;21,"Evening",TRUE,"Night")</f>
        <v>Evening</v>
      </c>
    </row>
    <row r="110" spans="1:22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  <c r="R110" s="5" t="str">
        <f t="shared" si="3"/>
        <v>Low Sale</v>
      </c>
      <c r="S110" s="7">
        <f t="shared" si="4"/>
        <v>4.7619047619047619</v>
      </c>
      <c r="T110" s="7" t="str" cm="1">
        <f t="array" ref="T110">_xlfn.IFS(Q109&gt;=8,"Excellent",Q109&gt;=6,"Good",Q109&gt;=4,"Average",TRUE,"Poor")</f>
        <v>Good</v>
      </c>
      <c r="U110" s="9">
        <f t="shared" si="5"/>
        <v>1.2119482925469825E-3</v>
      </c>
      <c r="V110" s="7" t="str" cm="1">
        <f t="array" ref="V110">_xlfn.IFS(HOUR(L109)&lt;12,"Morning",HOUR(L109)&lt;17,"Afternoon",HOUR(L109)&lt;21,"Evening",TRUE,"Night")</f>
        <v>Evening</v>
      </c>
    </row>
    <row r="111" spans="1:22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5" t="str">
        <f t="shared" si="3"/>
        <v>Low Sale</v>
      </c>
      <c r="S111" s="7">
        <f t="shared" si="4"/>
        <v>4.7619047619047628</v>
      </c>
      <c r="T111" s="7" t="str" cm="1">
        <f t="array" ref="T111">_xlfn.IFS(Q110&gt;=8,"Excellent",Q110&gt;=6,"Good",Q110&gt;=4,"Average",TRUE,"Poor")</f>
        <v>Average</v>
      </c>
      <c r="U111" s="9">
        <f t="shared" si="5"/>
        <v>9.9425405554675206E-4</v>
      </c>
      <c r="V111" s="7" t="str" cm="1">
        <f t="array" ref="V111">_xlfn.IFS(HOUR(L110)&lt;12,"Morning",HOUR(L110)&lt;17,"Afternoon",HOUR(L110)&lt;21,"Evening",TRUE,"Night")</f>
        <v>Morning</v>
      </c>
    </row>
    <row r="112" spans="1:22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5" t="str">
        <f t="shared" si="3"/>
        <v>Medium Sale</v>
      </c>
      <c r="S112" s="7">
        <f t="shared" si="4"/>
        <v>4.7619047619047628</v>
      </c>
      <c r="T112" s="7" t="str" cm="1">
        <f t="array" ref="T112">_xlfn.IFS(Q111&gt;=8,"Excellent",Q111&gt;=6,"Good",Q111&gt;=4,"Average",TRUE,"Poor")</f>
        <v>Excellent</v>
      </c>
      <c r="U112" s="9">
        <f t="shared" si="5"/>
        <v>2.6649337823938025E-3</v>
      </c>
      <c r="V112" s="7" t="str" cm="1">
        <f t="array" ref="V112">_xlfn.IFS(HOUR(L111)&lt;12,"Morning",HOUR(L111)&lt;17,"Afternoon",HOUR(L111)&lt;21,"Evening",TRUE,"Night")</f>
        <v>Afternoon</v>
      </c>
    </row>
    <row r="113" spans="1:22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  <c r="R113" s="5" t="str">
        <f t="shared" si="3"/>
        <v>Low Sale</v>
      </c>
      <c r="S113" s="7">
        <f t="shared" si="4"/>
        <v>4.7619047619047628</v>
      </c>
      <c r="T113" s="7" t="str" cm="1">
        <f t="array" ref="T113">_xlfn.IFS(Q112&gt;=8,"Excellent",Q112&gt;=6,"Good",Q112&gt;=4,"Average",TRUE,"Poor")</f>
        <v>Average</v>
      </c>
      <c r="U113" s="9">
        <f t="shared" si="5"/>
        <v>1.0722156416170258E-4</v>
      </c>
      <c r="V113" s="7" t="str" cm="1">
        <f t="array" ref="V113">_xlfn.IFS(HOUR(L112)&lt;12,"Morning",HOUR(L112)&lt;17,"Afternoon",HOUR(L112)&lt;21,"Evening",TRUE,"Night")</f>
        <v>Morning</v>
      </c>
    </row>
    <row r="114" spans="1:22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  <c r="R114" s="5" t="str">
        <f t="shared" si="3"/>
        <v>Low Sale</v>
      </c>
      <c r="S114" s="7">
        <f t="shared" si="4"/>
        <v>4.7619047619047628</v>
      </c>
      <c r="T114" s="7" t="str" cm="1">
        <f t="array" ref="T114">_xlfn.IFS(Q113&gt;=8,"Excellent",Q113&gt;=6,"Good",Q113&gt;=4,"Average",TRUE,"Poor")</f>
        <v>Good</v>
      </c>
      <c r="U114" s="9">
        <f t="shared" si="5"/>
        <v>9.5787414945307551E-4</v>
      </c>
      <c r="V114" s="7" t="str" cm="1">
        <f t="array" ref="V114">_xlfn.IFS(HOUR(L113)&lt;12,"Morning",HOUR(L113)&lt;17,"Afternoon",HOUR(L113)&lt;21,"Evening",TRUE,"Night")</f>
        <v>Morning</v>
      </c>
    </row>
    <row r="115" spans="1:22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  <c r="R115" s="5" t="str">
        <f t="shared" si="3"/>
        <v>Medium Sale</v>
      </c>
      <c r="S115" s="7">
        <f t="shared" si="4"/>
        <v>4.7619047619047619</v>
      </c>
      <c r="T115" s="7" t="str" cm="1">
        <f t="array" ref="T115">_xlfn.IFS(Q114&gt;=8,"Excellent",Q114&gt;=6,"Good",Q114&gt;=4,"Average",TRUE,"Poor")</f>
        <v>Excellent</v>
      </c>
      <c r="U115" s="9">
        <f t="shared" si="5"/>
        <v>1.6576752921397488E-3</v>
      </c>
      <c r="V115" s="7" t="str" cm="1">
        <f t="array" ref="V115">_xlfn.IFS(HOUR(L114)&lt;12,"Morning",HOUR(L114)&lt;17,"Afternoon",HOUR(L114)&lt;21,"Evening",TRUE,"Night")</f>
        <v>Afternoon</v>
      </c>
    </row>
    <row r="116" spans="1:22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  <c r="R116" s="5" t="str">
        <f t="shared" si="3"/>
        <v>Medium Sale</v>
      </c>
      <c r="S116" s="7">
        <f t="shared" si="4"/>
        <v>4.7619047619047628</v>
      </c>
      <c r="T116" s="7" t="str" cm="1">
        <f t="array" ref="T116">_xlfn.IFS(Q115&gt;=8,"Excellent",Q115&gt;=6,"Good",Q115&gt;=4,"Average",TRUE,"Poor")</f>
        <v>Average</v>
      </c>
      <c r="U116" s="9">
        <f t="shared" si="5"/>
        <v>1.6991269277692727E-3</v>
      </c>
      <c r="V116" s="7" t="str" cm="1">
        <f t="array" ref="V116">_xlfn.IFS(HOUR(L115)&lt;12,"Morning",HOUR(L115)&lt;17,"Afternoon",HOUR(L115)&lt;21,"Evening",TRUE,"Night")</f>
        <v>Evening</v>
      </c>
    </row>
    <row r="117" spans="1:22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  <c r="R117" s="5" t="str">
        <f t="shared" si="3"/>
        <v>Medium Sale</v>
      </c>
      <c r="S117" s="7">
        <f t="shared" si="4"/>
        <v>4.7619047619047619</v>
      </c>
      <c r="T117" s="7" t="str" cm="1">
        <f t="array" ref="T117">_xlfn.IFS(Q116&gt;=8,"Excellent",Q116&gt;=6,"Good",Q116&gt;=4,"Average",TRUE,"Poor")</f>
        <v>Excellent</v>
      </c>
      <c r="U117" s="9">
        <f t="shared" si="5"/>
        <v>2.3639136300065361E-3</v>
      </c>
      <c r="V117" s="7" t="str" cm="1">
        <f t="array" ref="V117">_xlfn.IFS(HOUR(L116)&lt;12,"Morning",HOUR(L116)&lt;17,"Afternoon",HOUR(L116)&lt;21,"Evening",TRUE,"Night")</f>
        <v>Evening</v>
      </c>
    </row>
    <row r="118" spans="1:22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  <c r="R118" s="5" t="str">
        <f t="shared" si="3"/>
        <v>Low Sale</v>
      </c>
      <c r="S118" s="7">
        <f t="shared" si="4"/>
        <v>4.7619047619047619</v>
      </c>
      <c r="T118" s="7" t="str" cm="1">
        <f t="array" ref="T118">_xlfn.IFS(Q117&gt;=8,"Excellent",Q117&gt;=6,"Good",Q117&gt;=4,"Average",TRUE,"Poor")</f>
        <v>Good</v>
      </c>
      <c r="U118" s="9">
        <f t="shared" si="5"/>
        <v>2.6353486934346912E-4</v>
      </c>
      <c r="V118" s="7" t="str" cm="1">
        <f t="array" ref="V118">_xlfn.IFS(HOUR(L117)&lt;12,"Morning",HOUR(L117)&lt;17,"Afternoon",HOUR(L117)&lt;21,"Evening",TRUE,"Night")</f>
        <v>Afternoon</v>
      </c>
    </row>
    <row r="119" spans="1:22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  <c r="R119" s="5" t="str">
        <f t="shared" si="3"/>
        <v>Low Sale</v>
      </c>
      <c r="S119" s="7">
        <f t="shared" si="4"/>
        <v>4.7619047619047628</v>
      </c>
      <c r="T119" s="7" t="str" cm="1">
        <f t="array" ref="T119">_xlfn.IFS(Q118&gt;=8,"Excellent",Q118&gt;=6,"Good",Q118&gt;=4,"Average",TRUE,"Poor")</f>
        <v>Average</v>
      </c>
      <c r="U119" s="9">
        <f t="shared" si="5"/>
        <v>3.5664662184774936E-4</v>
      </c>
      <c r="V119" s="7" t="str" cm="1">
        <f t="array" ref="V119">_xlfn.IFS(HOUR(L118)&lt;12,"Morning",HOUR(L118)&lt;17,"Afternoon",HOUR(L118)&lt;21,"Evening",TRUE,"Night")</f>
        <v>Afternoon</v>
      </c>
    </row>
    <row r="120" spans="1:22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  <c r="R120" s="5" t="str">
        <f t="shared" si="3"/>
        <v>Low Sale</v>
      </c>
      <c r="S120" s="7">
        <f t="shared" si="4"/>
        <v>4.7619047619047628</v>
      </c>
      <c r="T120" s="7" t="str" cm="1">
        <f t="array" ref="T120">_xlfn.IFS(Q119&gt;=8,"Excellent",Q119&gt;=6,"Good",Q119&gt;=4,"Average",TRUE,"Poor")</f>
        <v>Average</v>
      </c>
      <c r="U120" s="9">
        <f t="shared" si="5"/>
        <v>1.6697694164175391E-4</v>
      </c>
      <c r="V120" s="7" t="str" cm="1">
        <f t="array" ref="V120">_xlfn.IFS(HOUR(L119)&lt;12,"Morning",HOUR(L119)&lt;17,"Afternoon",HOUR(L119)&lt;21,"Evening",TRUE,"Night")</f>
        <v>Afternoon</v>
      </c>
    </row>
    <row r="121" spans="1:22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5" t="str">
        <f t="shared" si="3"/>
        <v>Low Sale</v>
      </c>
      <c r="S121" s="7">
        <f t="shared" si="4"/>
        <v>4.7619047619047628</v>
      </c>
      <c r="T121" s="7" t="str" cm="1">
        <f t="array" ref="T121">_xlfn.IFS(Q120&gt;=8,"Excellent",Q120&gt;=6,"Good",Q120&gt;=4,"Average",TRUE,"Poor")</f>
        <v>Good</v>
      </c>
      <c r="U121" s="9">
        <f t="shared" si="5"/>
        <v>3.5632151098006679E-4</v>
      </c>
      <c r="V121" s="7" t="str" cm="1">
        <f t="array" ref="V121">_xlfn.IFS(HOUR(L120)&lt;12,"Morning",HOUR(L120)&lt;17,"Afternoon",HOUR(L120)&lt;21,"Evening",TRUE,"Night")</f>
        <v>Evening</v>
      </c>
    </row>
    <row r="122" spans="1:22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  <c r="R122" s="5" t="str">
        <f t="shared" si="3"/>
        <v>Low Sale</v>
      </c>
      <c r="S122" s="7">
        <f t="shared" si="4"/>
        <v>4.7619047619047628</v>
      </c>
      <c r="T122" s="7" t="str" cm="1">
        <f t="array" ref="T122">_xlfn.IFS(Q121&gt;=8,"Excellent",Q121&gt;=6,"Good",Q121&gt;=4,"Average",TRUE,"Poor")</f>
        <v>Average</v>
      </c>
      <c r="U122" s="9">
        <f t="shared" si="5"/>
        <v>3.4747849537910164E-4</v>
      </c>
      <c r="V122" s="7" t="str" cm="1">
        <f t="array" ref="V122">_xlfn.IFS(HOUR(L121)&lt;12,"Morning",HOUR(L121)&lt;17,"Afternoon",HOUR(L121)&lt;21,"Evening",TRUE,"Night")</f>
        <v>Evening</v>
      </c>
    </row>
    <row r="123" spans="1:22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  <c r="R123" s="5" t="str">
        <f t="shared" si="3"/>
        <v>Medium Sale</v>
      </c>
      <c r="S123" s="7">
        <f t="shared" si="4"/>
        <v>4.7619047619047619</v>
      </c>
      <c r="T123" s="7" t="str" cm="1">
        <f t="array" ref="T123">_xlfn.IFS(Q122&gt;=8,"Excellent",Q122&gt;=6,"Good",Q122&gt;=4,"Average",TRUE,"Poor")</f>
        <v>Average</v>
      </c>
      <c r="U123" s="9">
        <f t="shared" si="5"/>
        <v>2.5894430389179161E-3</v>
      </c>
      <c r="V123" s="7" t="str" cm="1">
        <f t="array" ref="V123">_xlfn.IFS(HOUR(L122)&lt;12,"Morning",HOUR(L122)&lt;17,"Afternoon",HOUR(L122)&lt;21,"Evening",TRUE,"Night")</f>
        <v>Evening</v>
      </c>
    </row>
    <row r="124" spans="1:22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  <c r="R124" s="5" t="str">
        <f t="shared" si="3"/>
        <v>Low Sale</v>
      </c>
      <c r="S124" s="7">
        <f t="shared" si="4"/>
        <v>4.7619047619047628</v>
      </c>
      <c r="T124" s="7" t="str" cm="1">
        <f t="array" ref="T124">_xlfn.IFS(Q123&gt;=8,"Excellent",Q123&gt;=6,"Good",Q123&gt;=4,"Average",TRUE,"Poor")</f>
        <v>Good</v>
      </c>
      <c r="U124" s="9">
        <f t="shared" si="5"/>
        <v>1.2999232933418787E-3</v>
      </c>
      <c r="V124" s="7" t="str" cm="1">
        <f t="array" ref="V124">_xlfn.IFS(HOUR(L123)&lt;12,"Morning",HOUR(L123)&lt;17,"Afternoon",HOUR(L123)&lt;21,"Evening",TRUE,"Night")</f>
        <v>Afternoon</v>
      </c>
    </row>
    <row r="125" spans="1:22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  <c r="R125" s="5" t="str">
        <f t="shared" si="3"/>
        <v>Medium Sale</v>
      </c>
      <c r="S125" s="7">
        <f t="shared" si="4"/>
        <v>4.7619047619047628</v>
      </c>
      <c r="T125" s="7" t="str" cm="1">
        <f t="array" ref="T125">_xlfn.IFS(Q124&gt;=8,"Excellent",Q124&gt;=6,"Good",Q124&gt;=4,"Average",TRUE,"Poor")</f>
        <v>Average</v>
      </c>
      <c r="U125" s="9">
        <f t="shared" si="5"/>
        <v>2.924827410019227E-3</v>
      </c>
      <c r="V125" s="7" t="str" cm="1">
        <f t="array" ref="V125">_xlfn.IFS(HOUR(L124)&lt;12,"Morning",HOUR(L124)&lt;17,"Afternoon",HOUR(L124)&lt;21,"Evening",TRUE,"Night")</f>
        <v>Evening</v>
      </c>
    </row>
    <row r="126" spans="1:22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  <c r="R126" s="5" t="str">
        <f t="shared" si="3"/>
        <v>Medium Sale</v>
      </c>
      <c r="S126" s="7">
        <f t="shared" si="4"/>
        <v>4.7619047619047619</v>
      </c>
      <c r="T126" s="7" t="str" cm="1">
        <f t="array" ref="T126">_xlfn.IFS(Q125&gt;=8,"Excellent",Q125&gt;=6,"Good",Q125&gt;=4,"Average",TRUE,"Poor")</f>
        <v>Average</v>
      </c>
      <c r="U126" s="9">
        <f t="shared" si="5"/>
        <v>1.6622268442873045E-3</v>
      </c>
      <c r="V126" s="7" t="str" cm="1">
        <f t="array" ref="V126">_xlfn.IFS(HOUR(L125)&lt;12,"Morning",HOUR(L125)&lt;17,"Afternoon",HOUR(L125)&lt;21,"Evening",TRUE,"Night")</f>
        <v>Evening</v>
      </c>
    </row>
    <row r="127" spans="1:22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  <c r="R127" s="5" t="str">
        <f t="shared" si="3"/>
        <v>Low Sale</v>
      </c>
      <c r="S127" s="7">
        <f t="shared" si="4"/>
        <v>4.7619047619047619</v>
      </c>
      <c r="T127" s="7" t="str" cm="1">
        <f t="array" ref="T127">_xlfn.IFS(Q126&gt;=8,"Excellent",Q126&gt;=6,"Good",Q126&gt;=4,"Average",TRUE,"Poor")</f>
        <v>Good</v>
      </c>
      <c r="U127" s="9">
        <f t="shared" si="5"/>
        <v>1.468720855842655E-3</v>
      </c>
      <c r="V127" s="7" t="str" cm="1">
        <f t="array" ref="V127">_xlfn.IFS(HOUR(L126)&lt;12,"Morning",HOUR(L126)&lt;17,"Afternoon",HOUR(L126)&lt;21,"Evening",TRUE,"Night")</f>
        <v>Afternoon</v>
      </c>
    </row>
    <row r="128" spans="1:22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  <c r="R128" s="5" t="str">
        <f t="shared" si="3"/>
        <v>Medium Sale</v>
      </c>
      <c r="S128" s="7">
        <f t="shared" si="4"/>
        <v>4.7619047619047628</v>
      </c>
      <c r="T128" s="7" t="str" cm="1">
        <f t="array" ref="T128">_xlfn.IFS(Q127&gt;=8,"Excellent",Q127&gt;=6,"Good",Q127&gt;=4,"Average",TRUE,"Poor")</f>
        <v>Average</v>
      </c>
      <c r="U128" s="9">
        <f t="shared" si="5"/>
        <v>2.1321746035224197E-3</v>
      </c>
      <c r="V128" s="7" t="str" cm="1">
        <f t="array" ref="V128">_xlfn.IFS(HOUR(L127)&lt;12,"Morning",HOUR(L127)&lt;17,"Afternoon",HOUR(L127)&lt;21,"Evening",TRUE,"Night")</f>
        <v>Evening</v>
      </c>
    </row>
    <row r="129" spans="1:22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  <c r="R129" s="5" t="str">
        <f t="shared" si="3"/>
        <v>Low Sale</v>
      </c>
      <c r="S129" s="7">
        <f t="shared" si="4"/>
        <v>4.7619047619047619</v>
      </c>
      <c r="T129" s="7" t="str" cm="1">
        <f t="array" ref="T129">_xlfn.IFS(Q128&gt;=8,"Excellent",Q128&gt;=6,"Good",Q128&gt;=4,"Average",TRUE,"Poor")</f>
        <v>Excellent</v>
      </c>
      <c r="U129" s="9">
        <f t="shared" si="5"/>
        <v>5.2424127413810008E-4</v>
      </c>
      <c r="V129" s="7" t="str" cm="1">
        <f t="array" ref="V129">_xlfn.IFS(HOUR(L128)&lt;12,"Morning",HOUR(L128)&lt;17,"Afternoon",HOUR(L128)&lt;21,"Evening",TRUE,"Night")</f>
        <v>Afternoon</v>
      </c>
    </row>
    <row r="130" spans="1:22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  <c r="R130" s="5" t="str">
        <f t="shared" si="3"/>
        <v>Low Sale</v>
      </c>
      <c r="S130" s="7">
        <f t="shared" si="4"/>
        <v>4.7619047619047619</v>
      </c>
      <c r="T130" s="7" t="str" cm="1">
        <f t="array" ref="T130">_xlfn.IFS(Q129&gt;=8,"Excellent",Q129&gt;=6,"Good",Q129&gt;=4,"Average",TRUE,"Poor")</f>
        <v>Average</v>
      </c>
      <c r="U130" s="9">
        <f t="shared" si="5"/>
        <v>9.2841910484103721E-4</v>
      </c>
      <c r="V130" s="7" t="str" cm="1">
        <f t="array" ref="V130">_xlfn.IFS(HOUR(L129)&lt;12,"Morning",HOUR(L129)&lt;17,"Afternoon",HOUR(L129)&lt;21,"Evening",TRUE,"Night")</f>
        <v>Afternoon</v>
      </c>
    </row>
    <row r="131" spans="1:22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  <c r="R131" s="5" t="str">
        <f t="shared" si="3"/>
        <v>Medium Sale</v>
      </c>
      <c r="S131" s="7">
        <f t="shared" si="4"/>
        <v>4.7619047619047628</v>
      </c>
      <c r="T131" s="7" t="str" cm="1">
        <f t="array" ref="T131">_xlfn.IFS(Q130&gt;=8,"Excellent",Q130&gt;=6,"Good",Q130&gt;=4,"Average",TRUE,"Poor")</f>
        <v>Excellent</v>
      </c>
      <c r="U131" s="9">
        <f t="shared" si="5"/>
        <v>1.782647909676918E-3</v>
      </c>
      <c r="V131" s="7" t="str" cm="1">
        <f t="array" ref="V131">_xlfn.IFS(HOUR(L130)&lt;12,"Morning",HOUR(L130)&lt;17,"Afternoon",HOUR(L130)&lt;21,"Evening",TRUE,"Night")</f>
        <v>Afternoon</v>
      </c>
    </row>
    <row r="132" spans="1:22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  <c r="R132" s="5" t="str">
        <f t="shared" ref="R132:R195" si="6">IF(J131&gt;=1000,"High Sale",IF(J131&gt;=500,"Medium Sale","Low Sale"))</f>
        <v>Medium Sale</v>
      </c>
      <c r="S132" s="7">
        <f t="shared" ref="S132:S195" si="7">(P131/J131)*100</f>
        <v>4.7619047619047619</v>
      </c>
      <c r="T132" s="7" t="str" cm="1">
        <f t="array" ref="T132">_xlfn.IFS(Q131&gt;=8,"Excellent",Q131&gt;=6,"Good",Q131&gt;=4,"Average",TRUE,"Poor")</f>
        <v>Good</v>
      </c>
      <c r="U132" s="9">
        <f t="shared" ref="U132:U195" si="8">J131/SUM($J$2:$J$1001)</f>
        <v>2.6415908220941958E-3</v>
      </c>
      <c r="V132" s="7" t="str" cm="1">
        <f t="array" ref="V132">_xlfn.IFS(HOUR(L131)&lt;12,"Morning",HOUR(L131)&lt;17,"Afternoon",HOUR(L131)&lt;21,"Evening",TRUE,"Night")</f>
        <v>Morning</v>
      </c>
    </row>
    <row r="133" spans="1:22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5" t="str">
        <f t="shared" si="6"/>
        <v>Low Sale</v>
      </c>
      <c r="S133" s="7">
        <f t="shared" si="7"/>
        <v>4.7619047619047628</v>
      </c>
      <c r="T133" s="7" t="str" cm="1">
        <f t="array" ref="T133">_xlfn.IFS(Q132&gt;=8,"Excellent",Q132&gt;=6,"Good",Q132&gt;=4,"Average",TRUE,"Poor")</f>
        <v>Good</v>
      </c>
      <c r="U133" s="9">
        <f t="shared" si="8"/>
        <v>9.0166248043076387E-4</v>
      </c>
      <c r="V133" s="7" t="str" cm="1">
        <f t="array" ref="V133">_xlfn.IFS(HOUR(L132)&lt;12,"Morning",HOUR(L132)&lt;17,"Afternoon",HOUR(L132)&lt;21,"Evening",TRUE,"Night")</f>
        <v>Afternoon</v>
      </c>
    </row>
    <row r="134" spans="1:22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  <c r="R134" s="5" t="str">
        <f t="shared" si="6"/>
        <v>Medium Sale</v>
      </c>
      <c r="S134" s="7">
        <f t="shared" si="7"/>
        <v>4.7619047619047619</v>
      </c>
      <c r="T134" s="7" t="str" cm="1">
        <f t="array" ref="T134">_xlfn.IFS(Q133&gt;=8,"Excellent",Q133&gt;=6,"Good",Q133&gt;=4,"Average",TRUE,"Poor")</f>
        <v>Excellent</v>
      </c>
      <c r="U134" s="9">
        <f t="shared" si="8"/>
        <v>1.7971478543755595E-3</v>
      </c>
      <c r="V134" s="7" t="str" cm="1">
        <f t="array" ref="V134">_xlfn.IFS(HOUR(L133)&lt;12,"Morning",HOUR(L133)&lt;17,"Afternoon",HOUR(L133)&lt;21,"Evening",TRUE,"Night")</f>
        <v>Evening</v>
      </c>
    </row>
    <row r="135" spans="1:22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5" t="str">
        <f t="shared" si="6"/>
        <v>Low Sale</v>
      </c>
      <c r="S135" s="7">
        <f t="shared" si="7"/>
        <v>4.7619047619047619</v>
      </c>
      <c r="T135" s="7" t="str" cm="1">
        <f t="array" ref="T135">_xlfn.IFS(Q134&gt;=8,"Excellent",Q134&gt;=6,"Good",Q134&gt;=4,"Average",TRUE,"Poor")</f>
        <v>Good</v>
      </c>
      <c r="U135" s="9">
        <f t="shared" si="8"/>
        <v>4.5307450520239151E-4</v>
      </c>
      <c r="V135" s="7" t="str" cm="1">
        <f t="array" ref="V135">_xlfn.IFS(HOUR(L134)&lt;12,"Morning",HOUR(L134)&lt;17,"Afternoon",HOUR(L134)&lt;21,"Evening",TRUE,"Night")</f>
        <v>Evening</v>
      </c>
    </row>
    <row r="136" spans="1:22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  <c r="R136" s="5" t="str">
        <f t="shared" si="6"/>
        <v>Medium Sale</v>
      </c>
      <c r="S136" s="7">
        <f t="shared" si="7"/>
        <v>4.7619047619047628</v>
      </c>
      <c r="T136" s="7" t="str" cm="1">
        <f t="array" ref="T136">_xlfn.IFS(Q135&gt;=8,"Excellent",Q135&gt;=6,"Good",Q135&gt;=4,"Average",TRUE,"Poor")</f>
        <v>Excellent</v>
      </c>
      <c r="U136" s="9">
        <f t="shared" si="8"/>
        <v>1.7058567227303013E-3</v>
      </c>
      <c r="V136" s="7" t="str" cm="1">
        <f t="array" ref="V136">_xlfn.IFS(HOUR(L135)&lt;12,"Morning",HOUR(L135)&lt;17,"Afternoon",HOUR(L135)&lt;21,"Evening",TRUE,"Night")</f>
        <v>Afternoon</v>
      </c>
    </row>
    <row r="137" spans="1:22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  <c r="R137" s="5" t="str">
        <f t="shared" si="6"/>
        <v>Medium Sale</v>
      </c>
      <c r="S137" s="7">
        <f t="shared" si="7"/>
        <v>4.7619047619047619</v>
      </c>
      <c r="T137" s="7" t="str" cm="1">
        <f t="array" ref="T137">_xlfn.IFS(Q136&gt;=8,"Excellent",Q136&gt;=6,"Good",Q136&gt;=4,"Average",TRUE,"Poor")</f>
        <v>Average</v>
      </c>
      <c r="U137" s="9">
        <f t="shared" si="8"/>
        <v>1.5858908125554435E-3</v>
      </c>
      <c r="V137" s="7" t="str" cm="1">
        <f t="array" ref="V137">_xlfn.IFS(HOUR(L136)&lt;12,"Morning",HOUR(L136)&lt;17,"Afternoon",HOUR(L136)&lt;21,"Evening",TRUE,"Night")</f>
        <v>Afternoon</v>
      </c>
    </row>
    <row r="138" spans="1:22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5" t="str">
        <f t="shared" si="6"/>
        <v>Low Sale</v>
      </c>
      <c r="S138" s="7">
        <f t="shared" si="7"/>
        <v>4.7619047619047628</v>
      </c>
      <c r="T138" s="7" t="str" cm="1">
        <f t="array" ref="T138">_xlfn.IFS(Q137&gt;=8,"Excellent",Q137&gt;=6,"Good",Q137&gt;=4,"Average",TRUE,"Poor")</f>
        <v>Good</v>
      </c>
      <c r="U138" s="9">
        <f t="shared" si="8"/>
        <v>8.7994507446956997E-4</v>
      </c>
      <c r="V138" s="7" t="str" cm="1">
        <f t="array" ref="V138">_xlfn.IFS(HOUR(L137)&lt;12,"Morning",HOUR(L137)&lt;17,"Afternoon",HOUR(L137)&lt;21,"Evening",TRUE,"Night")</f>
        <v>Evening</v>
      </c>
    </row>
    <row r="139" spans="1:22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5" t="str">
        <f t="shared" si="6"/>
        <v>Low Sale</v>
      </c>
      <c r="S139" s="7">
        <f t="shared" si="7"/>
        <v>4.7619047619047619</v>
      </c>
      <c r="T139" s="7" t="str" cm="1">
        <f t="array" ref="T139">_xlfn.IFS(Q138&gt;=8,"Excellent",Q138&gt;=6,"Good",Q138&gt;=4,"Average",TRUE,"Poor")</f>
        <v>Excellent</v>
      </c>
      <c r="U139" s="9">
        <f t="shared" si="8"/>
        <v>4.2768334643638489E-4</v>
      </c>
      <c r="V139" s="7" t="str" cm="1">
        <f t="array" ref="V139">_xlfn.IFS(HOUR(L138)&lt;12,"Morning",HOUR(L138)&lt;17,"Afternoon",HOUR(L138)&lt;21,"Evening",TRUE,"Night")</f>
        <v>Evening</v>
      </c>
    </row>
    <row r="140" spans="1:22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5" t="str">
        <f t="shared" si="6"/>
        <v>Low Sale</v>
      </c>
      <c r="S140" s="7">
        <f t="shared" si="7"/>
        <v>4.7619047619047628</v>
      </c>
      <c r="T140" s="7" t="str" cm="1">
        <f t="array" ref="T140">_xlfn.IFS(Q139&gt;=8,"Excellent",Q139&gt;=6,"Good",Q139&gt;=4,"Average",TRUE,"Poor")</f>
        <v>Excellent</v>
      </c>
      <c r="U140" s="9">
        <f t="shared" si="8"/>
        <v>6.7141896393798717E-4</v>
      </c>
      <c r="V140" s="7" t="str" cm="1">
        <f t="array" ref="V140">_xlfn.IFS(HOUR(L139)&lt;12,"Morning",HOUR(L139)&lt;17,"Afternoon",HOUR(L139)&lt;21,"Evening",TRUE,"Night")</f>
        <v>Afternoon</v>
      </c>
    </row>
    <row r="141" spans="1:22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  <c r="R141" s="5" t="str">
        <f t="shared" si="6"/>
        <v>Medium Sale</v>
      </c>
      <c r="S141" s="7">
        <f t="shared" si="7"/>
        <v>4.7619047619047628</v>
      </c>
      <c r="T141" s="7" t="str" cm="1">
        <f t="array" ref="T141">_xlfn.IFS(Q140&gt;=8,"Excellent",Q140&gt;=6,"Good",Q140&gt;=4,"Average",TRUE,"Poor")</f>
        <v>Excellent</v>
      </c>
      <c r="U141" s="9">
        <f t="shared" si="8"/>
        <v>1.687650514140079E-3</v>
      </c>
      <c r="V141" s="7" t="str" cm="1">
        <f t="array" ref="V141">_xlfn.IFS(HOUR(L140)&lt;12,"Morning",HOUR(L140)&lt;17,"Afternoon",HOUR(L140)&lt;21,"Evening",TRUE,"Night")</f>
        <v>Afternoon</v>
      </c>
    </row>
    <row r="142" spans="1:22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  <c r="R142" s="5" t="str">
        <f t="shared" si="6"/>
        <v>Medium Sale</v>
      </c>
      <c r="S142" s="7">
        <f t="shared" si="7"/>
        <v>4.7619047619047619</v>
      </c>
      <c r="T142" s="7" t="str" cm="1">
        <f t="array" ref="T142">_xlfn.IFS(Q141&gt;=8,"Excellent",Q141&gt;=6,"Good",Q141&gt;=4,"Average",TRUE,"Poor")</f>
        <v>Excellent</v>
      </c>
      <c r="U142" s="9">
        <f t="shared" si="8"/>
        <v>1.8856430325587476E-3</v>
      </c>
      <c r="V142" s="7" t="str" cm="1">
        <f t="array" ref="V142">_xlfn.IFS(HOUR(L141)&lt;12,"Morning",HOUR(L141)&lt;17,"Afternoon",HOUR(L141)&lt;21,"Evening",TRUE,"Night")</f>
        <v>Evening</v>
      </c>
    </row>
    <row r="143" spans="1:22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  <c r="R143" s="5" t="str">
        <f t="shared" si="6"/>
        <v>Medium Sale</v>
      </c>
      <c r="S143" s="7">
        <f t="shared" si="7"/>
        <v>4.7619047619047619</v>
      </c>
      <c r="T143" s="7" t="str" cm="1">
        <f t="array" ref="T143">_xlfn.IFS(Q142&gt;=8,"Excellent",Q142&gt;=6,"Good",Q142&gt;=4,"Average",TRUE,"Poor")</f>
        <v>Average</v>
      </c>
      <c r="U143" s="9">
        <f t="shared" si="8"/>
        <v>2.9194955917892333E-3</v>
      </c>
      <c r="V143" s="7" t="str" cm="1">
        <f t="array" ref="V143">_xlfn.IFS(HOUR(L142)&lt;12,"Morning",HOUR(L142)&lt;17,"Afternoon",HOUR(L142)&lt;21,"Evening",TRUE,"Night")</f>
        <v>Afternoon</v>
      </c>
    </row>
    <row r="144" spans="1:22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  <c r="R144" s="5" t="str">
        <f t="shared" si="6"/>
        <v>Medium Sale</v>
      </c>
      <c r="S144" s="7">
        <f t="shared" si="7"/>
        <v>4.7619047619047619</v>
      </c>
      <c r="T144" s="7" t="str" cm="1">
        <f t="array" ref="T144">_xlfn.IFS(Q143&gt;=8,"Excellent",Q143&gt;=6,"Good",Q143&gt;=4,"Average",TRUE,"Poor")</f>
        <v>Excellent</v>
      </c>
      <c r="U144" s="9">
        <f t="shared" si="8"/>
        <v>2.9422533525270112E-3</v>
      </c>
      <c r="V144" s="7" t="str" cm="1">
        <f t="array" ref="V144">_xlfn.IFS(HOUR(L143)&lt;12,"Morning",HOUR(L143)&lt;17,"Afternoon",HOUR(L143)&lt;21,"Evening",TRUE,"Night")</f>
        <v>Afternoon</v>
      </c>
    </row>
    <row r="145" spans="1:22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  <c r="R145" s="5" t="str">
        <f t="shared" si="6"/>
        <v>Medium Sale</v>
      </c>
      <c r="S145" s="7">
        <f t="shared" si="7"/>
        <v>4.7619047619047619</v>
      </c>
      <c r="T145" s="7" t="str" cm="1">
        <f t="array" ref="T145">_xlfn.IFS(Q144&gt;=8,"Excellent",Q144&gt;=6,"Good",Q144&gt;=4,"Average",TRUE,"Poor")</f>
        <v>Excellent</v>
      </c>
      <c r="U145" s="9">
        <f t="shared" si="8"/>
        <v>2.2302605523022425E-3</v>
      </c>
      <c r="V145" s="7" t="str" cm="1">
        <f t="array" ref="V145">_xlfn.IFS(HOUR(L144)&lt;12,"Morning",HOUR(L144)&lt;17,"Afternoon",HOUR(L144)&lt;21,"Evening",TRUE,"Night")</f>
        <v>Evening</v>
      </c>
    </row>
    <row r="146" spans="1:22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  <c r="R146" s="5" t="str">
        <f t="shared" si="6"/>
        <v>Low Sale</v>
      </c>
      <c r="S146" s="7">
        <f t="shared" si="7"/>
        <v>4.7619047619047628</v>
      </c>
      <c r="T146" s="7" t="str" cm="1">
        <f t="array" ref="T146">_xlfn.IFS(Q145&gt;=8,"Excellent",Q145&gt;=6,"Good",Q145&gt;=4,"Average",TRUE,"Poor")</f>
        <v>Excellent</v>
      </c>
      <c r="U146" s="9">
        <f t="shared" si="8"/>
        <v>9.8866214862261228E-5</v>
      </c>
      <c r="V146" s="7" t="str" cm="1">
        <f t="array" ref="V146">_xlfn.IFS(HOUR(L145)&lt;12,"Morning",HOUR(L145)&lt;17,"Afternoon",HOUR(L145)&lt;21,"Evening",TRUE,"Night")</f>
        <v>Morning</v>
      </c>
    </row>
    <row r="147" spans="1:22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  <c r="R147" s="5" t="str">
        <f t="shared" si="6"/>
        <v>Low Sale</v>
      </c>
      <c r="S147" s="7">
        <f t="shared" si="7"/>
        <v>4.7619047619047628</v>
      </c>
      <c r="T147" s="7" t="str" cm="1">
        <f t="array" ref="T147">_xlfn.IFS(Q146&gt;=8,"Excellent",Q146&gt;=6,"Good",Q146&gt;=4,"Average",TRUE,"Poor")</f>
        <v>Excellent</v>
      </c>
      <c r="U147" s="9">
        <f t="shared" si="8"/>
        <v>1.5205435281512522E-3</v>
      </c>
      <c r="V147" s="7" t="str" cm="1">
        <f t="array" ref="V147">_xlfn.IFS(HOUR(L146)&lt;12,"Morning",HOUR(L146)&lt;17,"Afternoon",HOUR(L146)&lt;21,"Evening",TRUE,"Night")</f>
        <v>Afternoon</v>
      </c>
    </row>
    <row r="148" spans="1:22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5" t="str">
        <f t="shared" si="6"/>
        <v>Low Sale</v>
      </c>
      <c r="S148" s="7">
        <f t="shared" si="7"/>
        <v>4.7619047619047628</v>
      </c>
      <c r="T148" s="7" t="str" cm="1">
        <f t="array" ref="T148">_xlfn.IFS(Q147&gt;=8,"Excellent",Q147&gt;=6,"Good",Q147&gt;=4,"Average",TRUE,"Poor")</f>
        <v>Excellent</v>
      </c>
      <c r="U148" s="9">
        <f t="shared" si="8"/>
        <v>9.023777243396655E-4</v>
      </c>
      <c r="V148" s="7" t="str" cm="1">
        <f t="array" ref="V148">_xlfn.IFS(HOUR(L147)&lt;12,"Morning",HOUR(L147)&lt;17,"Afternoon",HOUR(L147)&lt;21,"Evening",TRUE,"Night")</f>
        <v>Evening</v>
      </c>
    </row>
    <row r="149" spans="1:22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  <c r="R149" s="5" t="str">
        <f t="shared" si="6"/>
        <v>Low Sale</v>
      </c>
      <c r="S149" s="7">
        <f t="shared" si="7"/>
        <v>4.7619047619047619</v>
      </c>
      <c r="T149" s="7" t="str" cm="1">
        <f t="array" ref="T149">_xlfn.IFS(Q148&gt;=8,"Excellent",Q148&gt;=6,"Good",Q148&gt;=4,"Average",TRUE,"Poor")</f>
        <v>Excellent</v>
      </c>
      <c r="U149" s="9">
        <f t="shared" si="8"/>
        <v>9.7988415519518384E-4</v>
      </c>
      <c r="V149" s="7" t="str" cm="1">
        <f t="array" ref="V149">_xlfn.IFS(HOUR(L148)&lt;12,"Morning",HOUR(L148)&lt;17,"Afternoon",HOUR(L148)&lt;21,"Evening",TRUE,"Night")</f>
        <v>Afternoon</v>
      </c>
    </row>
    <row r="150" spans="1:22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  <c r="R150" s="5" t="str">
        <f t="shared" si="6"/>
        <v>Low Sale</v>
      </c>
      <c r="S150" s="7">
        <f t="shared" si="7"/>
        <v>4.7619047619047619</v>
      </c>
      <c r="T150" s="7" t="str" cm="1">
        <f t="array" ref="T150">_xlfn.IFS(Q149&gt;=8,"Excellent",Q149&gt;=6,"Good",Q149&gt;=4,"Average",TRUE,"Poor")</f>
        <v>Average</v>
      </c>
      <c r="U150" s="9">
        <f t="shared" si="8"/>
        <v>8.60113311540935E-4</v>
      </c>
      <c r="V150" s="7" t="str" cm="1">
        <f t="array" ref="V150">_xlfn.IFS(HOUR(L149)&lt;12,"Morning",HOUR(L149)&lt;17,"Afternoon",HOUR(L149)&lt;21,"Evening",TRUE,"Night")</f>
        <v>Afternoon</v>
      </c>
    </row>
    <row r="151" spans="1:22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  <c r="R151" s="5" t="str">
        <f t="shared" si="6"/>
        <v>Medium Sale</v>
      </c>
      <c r="S151" s="7">
        <f t="shared" si="7"/>
        <v>4.7619047619047619</v>
      </c>
      <c r="T151" s="7" t="str" cm="1">
        <f t="array" ref="T151">_xlfn.IFS(Q150&gt;=8,"Excellent",Q150&gt;=6,"Good",Q150&gt;=4,"Average",TRUE,"Poor")</f>
        <v>Good</v>
      </c>
      <c r="U151" s="9">
        <f t="shared" si="8"/>
        <v>1.8689973561334015E-3</v>
      </c>
      <c r="V151" s="7" t="str" cm="1">
        <f t="array" ref="V151">_xlfn.IFS(HOUR(L150)&lt;12,"Morning",HOUR(L150)&lt;17,"Afternoon",HOUR(L150)&lt;21,"Evening",TRUE,"Night")</f>
        <v>Afternoon</v>
      </c>
    </row>
    <row r="152" spans="1:22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  <c r="R152" s="5" t="str">
        <f t="shared" si="6"/>
        <v>Low Sale</v>
      </c>
      <c r="S152" s="7">
        <f t="shared" si="7"/>
        <v>4.7619047619047628</v>
      </c>
      <c r="T152" s="7" t="str" cm="1">
        <f t="array" ref="T152">_xlfn.IFS(Q151&gt;=8,"Excellent",Q151&gt;=6,"Good",Q151&gt;=4,"Average",TRUE,"Poor")</f>
        <v>Average</v>
      </c>
      <c r="U152" s="9">
        <f t="shared" si="8"/>
        <v>8.442479011980268E-4</v>
      </c>
      <c r="V152" s="7" t="str" cm="1">
        <f t="array" ref="V152">_xlfn.IFS(HOUR(L151)&lt;12,"Morning",HOUR(L151)&lt;17,"Afternoon",HOUR(L151)&lt;21,"Evening",TRUE,"Night")</f>
        <v>Afternoon</v>
      </c>
    </row>
    <row r="153" spans="1:22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  <c r="R153" s="5" t="str">
        <f t="shared" si="6"/>
        <v>Low Sale</v>
      </c>
      <c r="S153" s="7">
        <f t="shared" si="7"/>
        <v>4.7619047619047619</v>
      </c>
      <c r="T153" s="7" t="str" cm="1">
        <f t="array" ref="T153">_xlfn.IFS(Q152&gt;=8,"Excellent",Q152&gt;=6,"Good",Q152&gt;=4,"Average",TRUE,"Poor")</f>
        <v>Average</v>
      </c>
      <c r="U153" s="9">
        <f t="shared" si="8"/>
        <v>1.1904259531063984E-3</v>
      </c>
      <c r="V153" s="7" t="str" cm="1">
        <f t="array" ref="V153">_xlfn.IFS(HOUR(L152)&lt;12,"Morning",HOUR(L152)&lt;17,"Afternoon",HOUR(L152)&lt;21,"Evening",TRUE,"Night")</f>
        <v>Evening</v>
      </c>
    </row>
    <row r="154" spans="1:22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  <c r="R154" s="5" t="str">
        <f t="shared" si="6"/>
        <v>Low Sale</v>
      </c>
      <c r="S154" s="7">
        <f t="shared" si="7"/>
        <v>4.7619047619047628</v>
      </c>
      <c r="T154" s="7" t="str" cm="1">
        <f t="array" ref="T154">_xlfn.IFS(Q153&gt;=8,"Excellent",Q153&gt;=6,"Good",Q153&gt;=4,"Average",TRUE,"Poor")</f>
        <v>Good</v>
      </c>
      <c r="U154" s="9">
        <f t="shared" si="8"/>
        <v>7.8650821109760728E-4</v>
      </c>
      <c r="V154" s="7" t="str" cm="1">
        <f t="array" ref="V154">_xlfn.IFS(HOUR(L153)&lt;12,"Morning",HOUR(L153)&lt;17,"Afternoon",HOUR(L153)&lt;21,"Evening",TRUE,"Night")</f>
        <v>Afternoon</v>
      </c>
    </row>
    <row r="155" spans="1:22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  <c r="R155" s="5" t="str">
        <f t="shared" si="6"/>
        <v>Medium Sale</v>
      </c>
      <c r="S155" s="7">
        <f t="shared" si="7"/>
        <v>4.7619047619047619</v>
      </c>
      <c r="T155" s="7" t="str" cm="1">
        <f t="array" ref="T155">_xlfn.IFS(Q154&gt;=8,"Excellent",Q154&gt;=6,"Good",Q154&gt;=4,"Average",TRUE,"Poor")</f>
        <v>Good</v>
      </c>
      <c r="U155" s="9">
        <f t="shared" si="8"/>
        <v>2.4356005763305371E-3</v>
      </c>
      <c r="V155" s="7" t="str" cm="1">
        <f t="array" ref="V155">_xlfn.IFS(HOUR(L154)&lt;12,"Morning",HOUR(L154)&lt;17,"Afternoon",HOUR(L154)&lt;21,"Evening",TRUE,"Night")</f>
        <v>Morning</v>
      </c>
    </row>
    <row r="156" spans="1:22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5" t="str">
        <f t="shared" si="6"/>
        <v>Low Sale</v>
      </c>
      <c r="S156" s="7">
        <f t="shared" si="7"/>
        <v>4.7619047619047619</v>
      </c>
      <c r="T156" s="7" t="str" cm="1">
        <f t="array" ref="T156">_xlfn.IFS(Q155&gt;=8,"Excellent",Q155&gt;=6,"Good",Q155&gt;=4,"Average",TRUE,"Poor")</f>
        <v>Excellent</v>
      </c>
      <c r="U156" s="9">
        <f t="shared" si="8"/>
        <v>3.2146962596449823E-4</v>
      </c>
      <c r="V156" s="7" t="str" cm="1">
        <f t="array" ref="V156">_xlfn.IFS(HOUR(L155)&lt;12,"Morning",HOUR(L155)&lt;17,"Afternoon",HOUR(L155)&lt;21,"Evening",TRUE,"Night")</f>
        <v>Evening</v>
      </c>
    </row>
    <row r="157" spans="1:22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  <c r="R157" s="5" t="str">
        <f t="shared" si="6"/>
        <v>Medium Sale</v>
      </c>
      <c r="S157" s="7">
        <f t="shared" si="7"/>
        <v>4.7619047619047619</v>
      </c>
      <c r="T157" s="7" t="str" cm="1">
        <f t="array" ref="T157">_xlfn.IFS(Q156&gt;=8,"Excellent",Q156&gt;=6,"Good",Q156&gt;=4,"Average",TRUE,"Poor")</f>
        <v>Excellent</v>
      </c>
      <c r="U157" s="9">
        <f t="shared" si="8"/>
        <v>2.1059381565004388E-3</v>
      </c>
      <c r="V157" s="7" t="str" cm="1">
        <f t="array" ref="V157">_xlfn.IFS(HOUR(L156)&lt;12,"Morning",HOUR(L156)&lt;17,"Afternoon",HOUR(L156)&lt;21,"Evening",TRUE,"Night")</f>
        <v>Afternoon</v>
      </c>
    </row>
    <row r="158" spans="1:22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  <c r="R158" s="5" t="str">
        <f t="shared" si="6"/>
        <v>Low Sale</v>
      </c>
      <c r="S158" s="7">
        <f t="shared" si="7"/>
        <v>4.7619047619047628</v>
      </c>
      <c r="T158" s="7" t="str" cm="1">
        <f t="array" ref="T158">_xlfn.IFS(Q157&gt;=8,"Excellent",Q157&gt;=6,"Good",Q157&gt;=4,"Average",TRUE,"Poor")</f>
        <v>Excellent</v>
      </c>
      <c r="U158" s="9">
        <f t="shared" si="8"/>
        <v>1.5002240989210932E-3</v>
      </c>
      <c r="V158" s="7" t="str" cm="1">
        <f t="array" ref="V158">_xlfn.IFS(HOUR(L157)&lt;12,"Morning",HOUR(L157)&lt;17,"Afternoon",HOUR(L157)&lt;21,"Evening",TRUE,"Night")</f>
        <v>Afternoon</v>
      </c>
    </row>
    <row r="159" spans="1:22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  <c r="R159" s="5" t="str">
        <f t="shared" si="6"/>
        <v>Low Sale</v>
      </c>
      <c r="S159" s="7">
        <f t="shared" si="7"/>
        <v>4.7619047619047628</v>
      </c>
      <c r="T159" s="7" t="str" cm="1">
        <f t="array" ref="T159">_xlfn.IFS(Q158&gt;=8,"Excellent",Q158&gt;=6,"Good",Q158&gt;=4,"Average",TRUE,"Poor")</f>
        <v>Good</v>
      </c>
      <c r="U159" s="9">
        <f t="shared" si="8"/>
        <v>2.3463251320649103E-4</v>
      </c>
      <c r="V159" s="7" t="str" cm="1">
        <f t="array" ref="V159">_xlfn.IFS(HOUR(L158)&lt;12,"Morning",HOUR(L158)&lt;17,"Afternoon",HOUR(L158)&lt;21,"Evening",TRUE,"Night")</f>
        <v>Evening</v>
      </c>
    </row>
    <row r="160" spans="1:22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  <c r="R160" s="5" t="str">
        <f t="shared" si="6"/>
        <v>Low Sale</v>
      </c>
      <c r="S160" s="7">
        <f t="shared" si="7"/>
        <v>4.7619047619047619</v>
      </c>
      <c r="T160" s="7" t="str" cm="1">
        <f t="array" ref="T160">_xlfn.IFS(Q159&gt;=8,"Excellent",Q159&gt;=6,"Good",Q159&gt;=4,"Average",TRUE,"Poor")</f>
        <v>Excellent</v>
      </c>
      <c r="U160" s="9">
        <f t="shared" si="8"/>
        <v>8.1732872135391245E-4</v>
      </c>
      <c r="V160" s="7" t="str" cm="1">
        <f t="array" ref="V160">_xlfn.IFS(HOUR(L159)&lt;12,"Morning",HOUR(L159)&lt;17,"Afternoon",HOUR(L159)&lt;21,"Evening",TRUE,"Night")</f>
        <v>Afternoon</v>
      </c>
    </row>
    <row r="161" spans="1:26" x14ac:dyDescent="0.3">
      <c r="A161" t="s">
        <v>237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  <c r="R161" s="5" t="str">
        <f t="shared" si="6"/>
        <v>Medium Sale</v>
      </c>
      <c r="S161" s="7">
        <f t="shared" si="7"/>
        <v>4.7619047619047619</v>
      </c>
      <c r="T161" s="7" t="str" cm="1">
        <f t="array" ref="T161">_xlfn.IFS(Q160&gt;=8,"Excellent",Q160&gt;=6,"Good",Q160&gt;=4,"Average",TRUE,"Poor")</f>
        <v>Good</v>
      </c>
      <c r="U161" s="9">
        <f t="shared" si="8"/>
        <v>2.8446550700487122E-3</v>
      </c>
      <c r="V161" s="7" t="str" cm="1">
        <f t="array" ref="V161">_xlfn.IFS(HOUR(L160)&lt;12,"Morning",HOUR(L160)&lt;17,"Afternoon",HOUR(L160)&lt;21,"Evening",TRUE,"Night")</f>
        <v>Afternoon</v>
      </c>
    </row>
    <row r="162" spans="1:26" x14ac:dyDescent="0.3">
      <c r="A162" t="s">
        <v>238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5" t="str">
        <f t="shared" si="6"/>
        <v>Medium Sale</v>
      </c>
      <c r="S162" s="7">
        <f t="shared" si="7"/>
        <v>4.7619047619047628</v>
      </c>
      <c r="T162" s="7" t="str" cm="1">
        <f t="array" ref="T162">_xlfn.IFS(Q161&gt;=8,"Excellent",Q161&gt;=6,"Good",Q161&gt;=4,"Average",TRUE,"Poor")</f>
        <v>Excellent</v>
      </c>
      <c r="U162" s="9">
        <f t="shared" si="8"/>
        <v>1.8217262359723596E-3</v>
      </c>
      <c r="V162" s="7" t="str" cm="1">
        <f t="array" ref="V162">_xlfn.IFS(HOUR(L161)&lt;12,"Morning",HOUR(L161)&lt;17,"Afternoon",HOUR(L161)&lt;21,"Evening",TRUE,"Night")</f>
        <v>Evening</v>
      </c>
      <c r="Y162" s="8">
        <v>15.36381381</v>
      </c>
      <c r="Z162" t="s">
        <v>236</v>
      </c>
    </row>
    <row r="163" spans="1:26" x14ac:dyDescent="0.3">
      <c r="A163" t="s">
        <v>239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  <c r="R163" s="5" t="str">
        <f t="shared" si="6"/>
        <v>Low Sale</v>
      </c>
      <c r="S163" s="7">
        <f t="shared" si="7"/>
        <v>4.7619047619047619</v>
      </c>
      <c r="T163" s="7" t="str" cm="1">
        <f t="array" ref="T163">_xlfn.IFS(Q162&gt;=8,"Excellent",Q162&gt;=6,"Good",Q162&gt;=4,"Average",TRUE,"Poor")</f>
        <v>Excellent</v>
      </c>
      <c r="U163" s="9">
        <f t="shared" si="8"/>
        <v>1.1230629813225755E-3</v>
      </c>
      <c r="V163" s="7" t="str" cm="1">
        <f t="array" ref="V163">_xlfn.IFS(HOUR(L162)&lt;12,"Morning",HOUR(L162)&lt;17,"Afternoon",HOUR(L162)&lt;21,"Evening",TRUE,"Night")</f>
        <v>Evening</v>
      </c>
      <c r="Y163" s="10">
        <v>322317.45</v>
      </c>
      <c r="Z163" t="s">
        <v>241</v>
      </c>
    </row>
    <row r="164" spans="1:26" x14ac:dyDescent="0.3">
      <c r="A164" t="s">
        <v>240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  <c r="R164" s="5" t="str">
        <f t="shared" si="6"/>
        <v>Low Sale</v>
      </c>
      <c r="S164" s="7">
        <f t="shared" si="7"/>
        <v>4.7619047619047619</v>
      </c>
      <c r="T164" s="7" t="str" cm="1">
        <f t="array" ref="T164">_xlfn.IFS(Q163&gt;=8,"Excellent",Q163&gt;=6,"Good",Q163&gt;=4,"Average",TRUE,"Poor")</f>
        <v>Good</v>
      </c>
      <c r="U164" s="9">
        <f t="shared" si="8"/>
        <v>2.0706311162701143E-4</v>
      </c>
      <c r="V164" s="7" t="str" cm="1">
        <f t="array" ref="V164">_xlfn.IFS(HOUR(L163)&lt;12,"Morning",HOUR(L163)&lt;17,"Afternoon",HOUR(L163)&lt;21,"Evening",TRUE,"Night")</f>
        <v>Afternoon</v>
      </c>
      <c r="Y164" t="s">
        <v>50</v>
      </c>
      <c r="Z164" t="s">
        <v>246</v>
      </c>
    </row>
    <row r="165" spans="1:26" x14ac:dyDescent="0.3">
      <c r="A165" t="s">
        <v>242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243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  <c r="R165" s="5" t="str">
        <f t="shared" si="6"/>
        <v>Low Sale</v>
      </c>
      <c r="S165" s="7">
        <f t="shared" si="7"/>
        <v>4.761904761904761</v>
      </c>
      <c r="T165" s="7" t="str" cm="1">
        <f t="array" ref="T165">_xlfn.IFS(Q164&gt;=8,"Excellent",Q164&gt;=6,"Good",Q164&gt;=4,"Average",TRUE,"Poor")</f>
        <v>Good</v>
      </c>
      <c r="U165" s="9">
        <f t="shared" si="8"/>
        <v>1.0420778641828542E-3</v>
      </c>
      <c r="V165" s="7" t="str" cm="1">
        <f t="array" ref="V165">_xlfn.IFS(HOUR(L164)&lt;12,"Morning",HOUR(L164)&lt;17,"Afternoon",HOUR(L164)&lt;21,"Evening",TRUE,"Night")</f>
        <v>Evening</v>
      </c>
    </row>
    <row r="166" spans="1:26" x14ac:dyDescent="0.3">
      <c r="A166" t="s">
        <v>244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  <c r="R166" s="5" t="str">
        <f t="shared" si="6"/>
        <v>Low Sale</v>
      </c>
      <c r="S166" s="7">
        <f t="shared" si="7"/>
        <v>4.7619047619047619</v>
      </c>
      <c r="T166" s="7" t="str" cm="1">
        <f t="array" ref="T166">_xlfn.IFS(Q165&gt;=8,"Excellent",Q165&gt;=6,"Good",Q165&gt;=4,"Average",TRUE,"Poor")</f>
        <v>Good</v>
      </c>
      <c r="U166" s="9">
        <f t="shared" si="8"/>
        <v>4.9676940581892522E-4</v>
      </c>
      <c r="V166" s="7" t="str" cm="1">
        <f t="array" ref="V166">_xlfn.IFS(HOUR(L165)&lt;12,"Morning",HOUR(L165)&lt;17,"Afternoon",HOUR(L165)&lt;21,"Evening",TRUE,"Night")</f>
        <v>Evening</v>
      </c>
    </row>
    <row r="167" spans="1:26" x14ac:dyDescent="0.3">
      <c r="A167" t="s">
        <v>245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  <c r="R167" s="5" t="str">
        <f t="shared" si="6"/>
        <v>Low Sale</v>
      </c>
      <c r="S167" s="7">
        <f t="shared" si="7"/>
        <v>4.7619047619047619</v>
      </c>
      <c r="T167" s="7" t="str" cm="1">
        <f t="array" ref="T167">_xlfn.IFS(Q166&gt;=8,"Excellent",Q166&gt;=6,"Good",Q166&gt;=4,"Average",TRUE,"Poor")</f>
        <v>Average</v>
      </c>
      <c r="U167" s="9">
        <f t="shared" si="8"/>
        <v>1.2971923620533454E-3</v>
      </c>
      <c r="V167" s="7" t="str" cm="1">
        <f t="array" ref="V167">_xlfn.IFS(HOUR(L166)&lt;12,"Morning",HOUR(L166)&lt;17,"Afternoon",HOUR(L166)&lt;21,"Evening",TRUE,"Night")</f>
        <v>Afternoon</v>
      </c>
    </row>
    <row r="168" spans="1:26" x14ac:dyDescent="0.3">
      <c r="A168" t="s">
        <v>247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  <c r="R168" s="5" t="str">
        <f t="shared" si="6"/>
        <v>Low Sale</v>
      </c>
      <c r="S168" s="7">
        <f t="shared" si="7"/>
        <v>4.761904761904761</v>
      </c>
      <c r="T168" s="7" t="str" cm="1">
        <f t="array" ref="T168">_xlfn.IFS(Q167&gt;=8,"Excellent",Q167&gt;=6,"Good",Q167&gt;=4,"Average",TRUE,"Poor")</f>
        <v>Average</v>
      </c>
      <c r="U168" s="9">
        <f t="shared" si="8"/>
        <v>1.1071975709796675E-3</v>
      </c>
      <c r="V168" s="7" t="str" cm="1">
        <f t="array" ref="V168">_xlfn.IFS(HOUR(L167)&lt;12,"Morning",HOUR(L167)&lt;17,"Afternoon",HOUR(L167)&lt;21,"Evening",TRUE,"Night")</f>
        <v>Afternoon</v>
      </c>
    </row>
    <row r="169" spans="1:26" x14ac:dyDescent="0.3">
      <c r="A169" t="s">
        <v>248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  <c r="R169" s="5" t="str">
        <f t="shared" si="6"/>
        <v>High Sale</v>
      </c>
      <c r="S169" s="7">
        <f t="shared" si="7"/>
        <v>4.7619047619047619</v>
      </c>
      <c r="T169" s="7" t="str" cm="1">
        <f t="array" ref="T169">_xlfn.IFS(Q168&gt;=8,"Excellent",Q168&gt;=6,"Good",Q168&gt;=4,"Average",TRUE,"Poor")</f>
        <v>Average</v>
      </c>
      <c r="U169" s="9">
        <f t="shared" si="8"/>
        <v>3.1074096733097432E-3</v>
      </c>
      <c r="V169" s="7" t="str" cm="1">
        <f t="array" ref="V169">_xlfn.IFS(HOUR(L168)&lt;12,"Morning",HOUR(L168)&lt;17,"Afternoon",HOUR(L168)&lt;21,"Evening",TRUE,"Night")</f>
        <v>Afternoon</v>
      </c>
    </row>
    <row r="170" spans="1:26" x14ac:dyDescent="0.3">
      <c r="A170" t="s">
        <v>249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  <c r="R170" s="5" t="str">
        <f t="shared" si="6"/>
        <v>High Sale</v>
      </c>
      <c r="S170" s="7">
        <f t="shared" si="7"/>
        <v>4.7619047619047628</v>
      </c>
      <c r="T170" s="7" t="str" cm="1">
        <f t="array" ref="T170">_xlfn.IFS(Q169&gt;=8,"Excellent",Q169&gt;=6,"Good",Q169&gt;=4,"Average",TRUE,"Poor")</f>
        <v>Excellent</v>
      </c>
      <c r="U170" s="9">
        <f t="shared" si="8"/>
        <v>3.2179473683218076E-3</v>
      </c>
      <c r="V170" s="7" t="str" cm="1">
        <f t="array" ref="V170">_xlfn.IFS(HOUR(L169)&lt;12,"Morning",HOUR(L169)&lt;17,"Afternoon",HOUR(L169)&lt;21,"Evening",TRUE,"Night")</f>
        <v>Afternoon</v>
      </c>
    </row>
    <row r="171" spans="1:26" x14ac:dyDescent="0.3">
      <c r="A171" t="s">
        <v>250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  <c r="R171" s="5" t="str">
        <f t="shared" si="6"/>
        <v>Low Sale</v>
      </c>
      <c r="S171" s="7">
        <f t="shared" si="7"/>
        <v>4.7619047619047619</v>
      </c>
      <c r="T171" s="7" t="str" cm="1">
        <f t="array" ref="T171">_xlfn.IFS(Q170&gt;=8,"Excellent",Q170&gt;=6,"Good",Q170&gt;=4,"Average",TRUE,"Poor")</f>
        <v>Good</v>
      </c>
      <c r="U171" s="9">
        <f t="shared" si="8"/>
        <v>1.0003011176856473E-3</v>
      </c>
      <c r="V171" s="7" t="str" cm="1">
        <f t="array" ref="V171">_xlfn.IFS(HOUR(L170)&lt;12,"Morning",HOUR(L170)&lt;17,"Afternoon",HOUR(L170)&lt;21,"Evening",TRUE,"Night")</f>
        <v>Afternoon</v>
      </c>
    </row>
    <row r="172" spans="1:26" x14ac:dyDescent="0.3">
      <c r="A172" t="s">
        <v>251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  <c r="R172" s="5" t="str">
        <f t="shared" si="6"/>
        <v>Medium Sale</v>
      </c>
      <c r="S172" s="7">
        <f t="shared" si="7"/>
        <v>4.7619047619047628</v>
      </c>
      <c r="T172" s="7" t="str" cm="1">
        <f t="array" ref="T172">_xlfn.IFS(Q171&gt;=8,"Excellent",Q171&gt;=6,"Good",Q171&gt;=4,"Average",TRUE,"Poor")</f>
        <v>Excellent</v>
      </c>
      <c r="U172" s="9">
        <f t="shared" si="8"/>
        <v>1.5821195264903256E-3</v>
      </c>
      <c r="V172" s="7" t="str" cm="1">
        <f t="array" ref="V172">_xlfn.IFS(HOUR(L171)&lt;12,"Morning",HOUR(L171)&lt;17,"Afternoon",HOUR(L171)&lt;21,"Evening",TRUE,"Night")</f>
        <v>Afternoon</v>
      </c>
    </row>
    <row r="173" spans="1:26" x14ac:dyDescent="0.3">
      <c r="A173" t="s">
        <v>252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  <c r="R173" s="5" t="str">
        <f t="shared" si="6"/>
        <v>Low Sale</v>
      </c>
      <c r="S173" s="7">
        <f t="shared" si="7"/>
        <v>4.7619047619047628</v>
      </c>
      <c r="T173" s="7" t="str" cm="1">
        <f t="array" ref="T173">_xlfn.IFS(Q172&gt;=8,"Excellent",Q172&gt;=6,"Good",Q172&gt;=4,"Average",TRUE,"Poor")</f>
        <v>Average</v>
      </c>
      <c r="U173" s="9">
        <f t="shared" si="8"/>
        <v>1.1380505923227408E-3</v>
      </c>
      <c r="V173" s="7" t="str" cm="1">
        <f t="array" ref="V173">_xlfn.IFS(HOUR(L172)&lt;12,"Morning",HOUR(L172)&lt;17,"Afternoon",HOUR(L172)&lt;21,"Evening",TRUE,"Night")</f>
        <v>Morning</v>
      </c>
    </row>
    <row r="174" spans="1:26" x14ac:dyDescent="0.3">
      <c r="A174" t="s">
        <v>253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  <c r="R174" s="5" t="str">
        <f t="shared" si="6"/>
        <v>Low Sale</v>
      </c>
      <c r="S174" s="7">
        <f t="shared" si="7"/>
        <v>4.7619047619047619</v>
      </c>
      <c r="T174" s="7" t="str" cm="1">
        <f t="array" ref="T174">_xlfn.IFS(Q173&gt;=8,"Excellent",Q173&gt;=6,"Good",Q173&gt;=4,"Average",TRUE,"Poor")</f>
        <v>Excellent</v>
      </c>
      <c r="U174" s="9">
        <f t="shared" si="8"/>
        <v>1.301256247899377E-3</v>
      </c>
      <c r="V174" s="7" t="str" cm="1">
        <f t="array" ref="V174">_xlfn.IFS(HOUR(L173)&lt;12,"Morning",HOUR(L173)&lt;17,"Afternoon",HOUR(L173)&lt;21,"Evening",TRUE,"Night")</f>
        <v>Afternoon</v>
      </c>
    </row>
    <row r="175" spans="1:26" x14ac:dyDescent="0.3">
      <c r="A175" t="s">
        <v>254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5" t="str">
        <f t="shared" si="6"/>
        <v>Low Sale</v>
      </c>
      <c r="S175" s="7">
        <f t="shared" si="7"/>
        <v>4.7619047619047628</v>
      </c>
      <c r="T175" s="7" t="str" cm="1">
        <f t="array" ref="T175">_xlfn.IFS(Q174&gt;=8,"Excellent",Q174&gt;=6,"Good",Q174&gt;=4,"Average",TRUE,"Poor")</f>
        <v>Good</v>
      </c>
      <c r="U175" s="9">
        <f t="shared" si="8"/>
        <v>5.4228492729448119E-4</v>
      </c>
      <c r="V175" s="7" t="str" cm="1">
        <f t="array" ref="V175">_xlfn.IFS(HOUR(L174)&lt;12,"Morning",HOUR(L174)&lt;17,"Afternoon",HOUR(L174)&lt;21,"Evening",TRUE,"Night")</f>
        <v>Evening</v>
      </c>
    </row>
    <row r="176" spans="1:26" x14ac:dyDescent="0.3">
      <c r="A176" t="s">
        <v>255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5" t="str">
        <f t="shared" si="6"/>
        <v>Low Sale</v>
      </c>
      <c r="S176" s="7">
        <f t="shared" si="7"/>
        <v>4.7619047619047628</v>
      </c>
      <c r="T176" s="7" t="str" cm="1">
        <f t="array" ref="T176">_xlfn.IFS(Q175&gt;=8,"Excellent",Q175&gt;=6,"Good",Q175&gt;=4,"Average",TRUE,"Poor")</f>
        <v>Excellent</v>
      </c>
      <c r="U176" s="9">
        <f t="shared" si="8"/>
        <v>1.0317068275037811E-3</v>
      </c>
      <c r="V176" s="7" t="str" cm="1">
        <f t="array" ref="V176">_xlfn.IFS(HOUR(L175)&lt;12,"Morning",HOUR(L175)&lt;17,"Afternoon",HOUR(L175)&lt;21,"Evening",TRUE,"Night")</f>
        <v>Evening</v>
      </c>
    </row>
    <row r="177" spans="1:22" x14ac:dyDescent="0.3">
      <c r="A177" t="s">
        <v>256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257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  <c r="R177" s="5" t="str">
        <f t="shared" si="6"/>
        <v>Low Sale</v>
      </c>
      <c r="S177" s="7">
        <f t="shared" si="7"/>
        <v>4.7619047619047628</v>
      </c>
      <c r="T177" s="7" t="str" cm="1">
        <f t="array" ref="T177">_xlfn.IFS(Q176&gt;=8,"Excellent",Q176&gt;=6,"Good",Q176&gt;=4,"Average",TRUE,"Poor")</f>
        <v>Excellent</v>
      </c>
      <c r="U177" s="9">
        <f t="shared" si="8"/>
        <v>5.147155257150016E-4</v>
      </c>
      <c r="V177" s="7" t="str" cm="1">
        <f t="array" ref="V177">_xlfn.IFS(HOUR(L176)&lt;12,"Morning",HOUR(L176)&lt;17,"Afternoon",HOUR(L176)&lt;21,"Evening",TRUE,"Night")</f>
        <v>Afternoon</v>
      </c>
    </row>
    <row r="178" spans="1:22" x14ac:dyDescent="0.3">
      <c r="A178" t="s">
        <v>258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  <c r="R178" s="5" t="str">
        <f t="shared" si="6"/>
        <v>Low Sale</v>
      </c>
      <c r="S178" s="7">
        <f t="shared" si="7"/>
        <v>4.7619047619047619</v>
      </c>
      <c r="T178" s="7" t="str" cm="1">
        <f t="array" ref="T178">_xlfn.IFS(Q177&gt;=8,"Excellent",Q177&gt;=6,"Good",Q177&gt;=4,"Average",TRUE,"Poor")</f>
        <v>Excellent</v>
      </c>
      <c r="U178" s="9">
        <f t="shared" si="8"/>
        <v>9.9015765861395198E-4</v>
      </c>
      <c r="V178" s="7" t="str" cm="1">
        <f t="array" ref="V178">_xlfn.IFS(HOUR(L177)&lt;12,"Morning",HOUR(L177)&lt;17,"Afternoon",HOUR(L177)&lt;21,"Evening",TRUE,"Night")</f>
        <v>Afternoon</v>
      </c>
    </row>
    <row r="179" spans="1:22" x14ac:dyDescent="0.3">
      <c r="A179" t="s">
        <v>259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260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  <c r="R179" s="5" t="str">
        <f t="shared" si="6"/>
        <v>Low Sale</v>
      </c>
      <c r="S179" s="7">
        <f t="shared" si="7"/>
        <v>4.7619047619047619</v>
      </c>
      <c r="T179" s="7" t="str" cm="1">
        <f t="array" ref="T179">_xlfn.IFS(Q178&gt;=8,"Excellent",Q178&gt;=6,"Good",Q178&gt;=4,"Average",TRUE,"Poor")</f>
        <v>Excellent</v>
      </c>
      <c r="U179" s="9">
        <f t="shared" si="8"/>
        <v>5.766166349217577E-4</v>
      </c>
      <c r="V179" s="7" t="str" cm="1">
        <f t="array" ref="V179">_xlfn.IFS(HOUR(L178)&lt;12,"Morning",HOUR(L178)&lt;17,"Afternoon",HOUR(L178)&lt;21,"Evening",TRUE,"Night")</f>
        <v>Evening</v>
      </c>
    </row>
    <row r="180" spans="1:22" x14ac:dyDescent="0.3">
      <c r="A180" t="s">
        <v>261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5" t="str">
        <f t="shared" si="6"/>
        <v>Low Sale</v>
      </c>
      <c r="S180" s="7">
        <f t="shared" si="7"/>
        <v>4.7619047619047619</v>
      </c>
      <c r="T180" s="7" t="str" cm="1">
        <f t="array" ref="T180">_xlfn.IFS(Q179&gt;=8,"Excellent",Q179&gt;=6,"Good",Q179&gt;=4,"Average",TRUE,"Poor")</f>
        <v>Average</v>
      </c>
      <c r="U180" s="9">
        <f t="shared" si="8"/>
        <v>5.1227719420738249E-4</v>
      </c>
      <c r="V180" s="7" t="str" cm="1">
        <f t="array" ref="V180">_xlfn.IFS(HOUR(L179)&lt;12,"Morning",HOUR(L179)&lt;17,"Afternoon",HOUR(L179)&lt;21,"Evening",TRUE,"Night")</f>
        <v>Morning</v>
      </c>
    </row>
    <row r="181" spans="1:22" x14ac:dyDescent="0.3">
      <c r="A181" t="s">
        <v>262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  <c r="R181" s="5" t="str">
        <f t="shared" si="6"/>
        <v>Low Sale</v>
      </c>
      <c r="S181" s="7">
        <f t="shared" si="7"/>
        <v>4.7619047619047628</v>
      </c>
      <c r="T181" s="7" t="str" cm="1">
        <f t="array" ref="T181">_xlfn.IFS(Q180&gt;=8,"Excellent",Q180&gt;=6,"Good",Q180&gt;=4,"Average",TRUE,"Poor")</f>
        <v>Average</v>
      </c>
      <c r="U181" s="9">
        <f t="shared" si="8"/>
        <v>1.4411514542631754E-3</v>
      </c>
      <c r="V181" s="7" t="str" cm="1">
        <f t="array" ref="V181">_xlfn.IFS(HOUR(L180)&lt;12,"Morning",HOUR(L180)&lt;17,"Afternoon",HOUR(L180)&lt;21,"Evening",TRUE,"Night")</f>
        <v>Evening</v>
      </c>
    </row>
    <row r="182" spans="1:22" x14ac:dyDescent="0.3">
      <c r="A182" t="s">
        <v>263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  <c r="R182" s="5" t="str">
        <f t="shared" si="6"/>
        <v>Low Sale</v>
      </c>
      <c r="S182" s="7">
        <f t="shared" si="7"/>
        <v>4.7619047619047619</v>
      </c>
      <c r="T182" s="7" t="str" cm="1">
        <f t="array" ref="T182">_xlfn.IFS(Q181&gt;=8,"Excellent",Q181&gt;=6,"Good",Q181&gt;=4,"Average",TRUE,"Poor")</f>
        <v>Excellent</v>
      </c>
      <c r="U182" s="9">
        <f t="shared" si="8"/>
        <v>8.4658869944534117E-4</v>
      </c>
      <c r="V182" s="7" t="str" cm="1">
        <f t="array" ref="V182">_xlfn.IFS(HOUR(L181)&lt;12,"Morning",HOUR(L181)&lt;17,"Afternoon",HOUR(L181)&lt;21,"Evening",TRUE,"Night")</f>
        <v>Afternoon</v>
      </c>
    </row>
    <row r="183" spans="1:22" x14ac:dyDescent="0.3">
      <c r="A183" t="s">
        <v>264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  <c r="R183" s="5" t="str">
        <f t="shared" si="6"/>
        <v>Low Sale</v>
      </c>
      <c r="S183" s="7">
        <f t="shared" si="7"/>
        <v>4.7619047619047628</v>
      </c>
      <c r="T183" s="7" t="str" cm="1">
        <f t="array" ref="T183">_xlfn.IFS(Q182&gt;=8,"Excellent",Q182&gt;=6,"Good",Q182&gt;=4,"Average",TRUE,"Poor")</f>
        <v>Average</v>
      </c>
      <c r="U183" s="9">
        <f t="shared" si="8"/>
        <v>1.4624137050096135E-3</v>
      </c>
      <c r="V183" s="7" t="str" cm="1">
        <f t="array" ref="V183">_xlfn.IFS(HOUR(L182)&lt;12,"Morning",HOUR(L182)&lt;17,"Afternoon",HOUR(L182)&lt;21,"Evening",TRUE,"Night")</f>
        <v>Morning</v>
      </c>
    </row>
    <row r="184" spans="1:22" x14ac:dyDescent="0.3">
      <c r="A184" t="s">
        <v>265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  <c r="R184" s="5" t="str">
        <f t="shared" si="6"/>
        <v>Low Sale</v>
      </c>
      <c r="S184" s="7">
        <f t="shared" si="7"/>
        <v>4.7619047619047619</v>
      </c>
      <c r="T184" s="7" t="str" cm="1">
        <f t="array" ref="T184">_xlfn.IFS(Q183&gt;=8,"Excellent",Q183&gt;=6,"Good",Q183&gt;=4,"Average",TRUE,"Poor")</f>
        <v>Good</v>
      </c>
      <c r="U184" s="9">
        <f t="shared" si="8"/>
        <v>1.0005612063797935E-3</v>
      </c>
      <c r="V184" s="7" t="str" cm="1">
        <f t="array" ref="V184">_xlfn.IFS(HOUR(L183)&lt;12,"Morning",HOUR(L183)&lt;17,"Afternoon",HOUR(L183)&lt;21,"Evening",TRUE,"Night")</f>
        <v>Morning</v>
      </c>
    </row>
    <row r="185" spans="1:22" x14ac:dyDescent="0.3">
      <c r="A185" t="s">
        <v>266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  <c r="R185" s="5" t="str">
        <f t="shared" si="6"/>
        <v>Low Sale</v>
      </c>
      <c r="S185" s="7">
        <f t="shared" si="7"/>
        <v>4.7619047619047619</v>
      </c>
      <c r="T185" s="7" t="str" cm="1">
        <f t="array" ref="T185">_xlfn.IFS(Q184&gt;=8,"Excellent",Q184&gt;=6,"Good",Q184&gt;=4,"Average",TRUE,"Poor")</f>
        <v>Excellent</v>
      </c>
      <c r="U185" s="9">
        <f t="shared" si="8"/>
        <v>5.0392184490794119E-4</v>
      </c>
      <c r="V185" s="7" t="str" cm="1">
        <f t="array" ref="V185">_xlfn.IFS(HOUR(L184)&lt;12,"Morning",HOUR(L184)&lt;17,"Afternoon",HOUR(L184)&lt;21,"Evening",TRUE,"Night")</f>
        <v>Morning</v>
      </c>
    </row>
    <row r="186" spans="1:22" x14ac:dyDescent="0.3">
      <c r="A186" t="s">
        <v>267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  <c r="R186" s="5" t="str">
        <f t="shared" si="6"/>
        <v>Low Sale</v>
      </c>
      <c r="S186" s="7">
        <f t="shared" si="7"/>
        <v>4.7619047619047619</v>
      </c>
      <c r="T186" s="7" t="str" cm="1">
        <f t="array" ref="T186">_xlfn.IFS(Q185&gt;=8,"Excellent",Q185&gt;=6,"Good",Q185&gt;=4,"Average",TRUE,"Poor")</f>
        <v>Average</v>
      </c>
      <c r="U186" s="9">
        <f t="shared" si="8"/>
        <v>8.9236430961504322E-4</v>
      </c>
      <c r="V186" s="7" t="str" cm="1">
        <f t="array" ref="V186">_xlfn.IFS(HOUR(L185)&lt;12,"Morning",HOUR(L185)&lt;17,"Afternoon",HOUR(L185)&lt;21,"Evening",TRUE,"Night")</f>
        <v>Afternoon</v>
      </c>
    </row>
    <row r="187" spans="1:22" x14ac:dyDescent="0.3">
      <c r="A187" t="s">
        <v>268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  <c r="R187" s="5" t="str">
        <f t="shared" si="6"/>
        <v>Low Sale</v>
      </c>
      <c r="S187" s="7">
        <f t="shared" si="7"/>
        <v>4.7619047619047619</v>
      </c>
      <c r="T187" s="7" t="str" cm="1">
        <f t="array" ref="T187">_xlfn.IFS(Q186&gt;=8,"Excellent",Q186&gt;=6,"Good",Q186&gt;=4,"Average",TRUE,"Poor")</f>
        <v>Good</v>
      </c>
      <c r="U187" s="9">
        <f t="shared" si="8"/>
        <v>2.8083076750418036E-4</v>
      </c>
      <c r="V187" s="7" t="str" cm="1">
        <f t="array" ref="V187">_xlfn.IFS(HOUR(L186)&lt;12,"Morning",HOUR(L186)&lt;17,"Afternoon",HOUR(L186)&lt;21,"Evening",TRUE,"Night")</f>
        <v>Morning</v>
      </c>
    </row>
    <row r="188" spans="1:22" x14ac:dyDescent="0.3">
      <c r="A188" t="s">
        <v>269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  <c r="R188" s="5" t="str">
        <f t="shared" si="6"/>
        <v>Low Sale</v>
      </c>
      <c r="S188" s="7">
        <f t="shared" si="7"/>
        <v>4.7619047619047628</v>
      </c>
      <c r="T188" s="7" t="str" cm="1">
        <f t="array" ref="T188">_xlfn.IFS(Q187&gt;=8,"Excellent",Q187&gt;=6,"Good",Q187&gt;=4,"Average",TRUE,"Poor")</f>
        <v>Excellent</v>
      </c>
      <c r="U188" s="9">
        <f t="shared" si="8"/>
        <v>1.7634013463101116E-4</v>
      </c>
      <c r="V188" s="7" t="str" cm="1">
        <f t="array" ref="V188">_xlfn.IFS(HOUR(L187)&lt;12,"Morning",HOUR(L187)&lt;17,"Afternoon",HOUR(L187)&lt;21,"Evening",TRUE,"Night")</f>
        <v>Evening</v>
      </c>
    </row>
    <row r="189" spans="1:22" x14ac:dyDescent="0.3">
      <c r="A189" t="s">
        <v>270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  <c r="R189" s="5" t="str">
        <f t="shared" si="6"/>
        <v>Medium Sale</v>
      </c>
      <c r="S189" s="7">
        <f t="shared" si="7"/>
        <v>4.7619047619047619</v>
      </c>
      <c r="T189" s="7" t="str" cm="1">
        <f t="array" ref="T189">_xlfn.IFS(Q188&gt;=8,"Excellent",Q188&gt;=6,"Good",Q188&gt;=4,"Average",TRUE,"Poor")</f>
        <v>Good</v>
      </c>
      <c r="U189" s="9">
        <f t="shared" si="8"/>
        <v>2.4575780709858767E-3</v>
      </c>
      <c r="V189" s="7" t="str" cm="1">
        <f t="array" ref="V189">_xlfn.IFS(HOUR(L188)&lt;12,"Morning",HOUR(L188)&lt;17,"Afternoon",HOUR(L188)&lt;21,"Evening",TRUE,"Night")</f>
        <v>Evening</v>
      </c>
    </row>
    <row r="190" spans="1:22" x14ac:dyDescent="0.3">
      <c r="A190" t="s">
        <v>271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  <c r="R190" s="5" t="str">
        <f t="shared" si="6"/>
        <v>Low Sale</v>
      </c>
      <c r="S190" s="7">
        <f t="shared" si="7"/>
        <v>4.7619047619047628</v>
      </c>
      <c r="T190" s="7" t="str" cm="1">
        <f t="array" ref="T190">_xlfn.IFS(Q189&gt;=8,"Excellent",Q189&gt;=6,"Good",Q189&gt;=4,"Average",TRUE,"Poor")</f>
        <v>Good</v>
      </c>
      <c r="U190" s="9">
        <f t="shared" si="8"/>
        <v>6.0431608084831039E-4</v>
      </c>
      <c r="V190" s="7" t="str" cm="1">
        <f t="array" ref="V190">_xlfn.IFS(HOUR(L189)&lt;12,"Morning",HOUR(L189)&lt;17,"Afternoon",HOUR(L189)&lt;21,"Evening",TRUE,"Night")</f>
        <v>Morning</v>
      </c>
    </row>
    <row r="191" spans="1:22" x14ac:dyDescent="0.3">
      <c r="A191" t="s">
        <v>272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  <c r="R191" s="5" t="str">
        <f t="shared" si="6"/>
        <v>Low Sale</v>
      </c>
      <c r="S191" s="7">
        <f t="shared" si="7"/>
        <v>4.7619047619047628</v>
      </c>
      <c r="T191" s="7" t="str" cm="1">
        <f t="array" ref="T191">_xlfn.IFS(Q190&gt;=8,"Excellent",Q190&gt;=6,"Good",Q190&gt;=4,"Average",TRUE,"Poor")</f>
        <v>Excellent</v>
      </c>
      <c r="U191" s="9">
        <f t="shared" si="8"/>
        <v>2.4080961969245938E-4</v>
      </c>
      <c r="V191" s="7" t="str" cm="1">
        <f t="array" ref="V191">_xlfn.IFS(HOUR(L190)&lt;12,"Morning",HOUR(L190)&lt;17,"Afternoon",HOUR(L190)&lt;21,"Evening",TRUE,"Night")</f>
        <v>Afternoon</v>
      </c>
    </row>
    <row r="192" spans="1:22" x14ac:dyDescent="0.3">
      <c r="A192" t="s">
        <v>273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  <c r="R192" s="5" t="str">
        <f t="shared" si="6"/>
        <v>Low Sale</v>
      </c>
      <c r="S192" s="7">
        <f t="shared" si="7"/>
        <v>4.7619047619047619</v>
      </c>
      <c r="T192" s="7" t="str" cm="1">
        <f t="array" ref="T192">_xlfn.IFS(Q191&gt;=8,"Excellent",Q191&gt;=6,"Good",Q191&gt;=4,"Average",TRUE,"Poor")</f>
        <v>Average</v>
      </c>
      <c r="U192" s="9">
        <f t="shared" si="8"/>
        <v>9.0783958691673225E-4</v>
      </c>
      <c r="V192" s="7" t="str" cm="1">
        <f t="array" ref="V192">_xlfn.IFS(HOUR(L191)&lt;12,"Morning",HOUR(L191)&lt;17,"Afternoon",HOUR(L191)&lt;21,"Evening",TRUE,"Night")</f>
        <v>Evening</v>
      </c>
    </row>
    <row r="193" spans="1:22" x14ac:dyDescent="0.3">
      <c r="A193" t="s">
        <v>274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5" t="str">
        <f t="shared" si="6"/>
        <v>Low Sale</v>
      </c>
      <c r="S193" s="7">
        <f t="shared" si="7"/>
        <v>4.7619047619047619</v>
      </c>
      <c r="T193" s="7" t="str" cm="1">
        <f t="array" ref="T193">_xlfn.IFS(Q192&gt;=8,"Excellent",Q192&gt;=6,"Good",Q192&gt;=4,"Average",TRUE,"Poor")</f>
        <v>Good</v>
      </c>
      <c r="U193" s="9">
        <f t="shared" si="8"/>
        <v>7.5139623738789264E-4</v>
      </c>
      <c r="V193" s="7" t="str" cm="1">
        <f t="array" ref="V193">_xlfn.IFS(HOUR(L192)&lt;12,"Morning",HOUR(L192)&lt;17,"Afternoon",HOUR(L192)&lt;21,"Evening",TRUE,"Night")</f>
        <v>Morning</v>
      </c>
    </row>
    <row r="194" spans="1:22" x14ac:dyDescent="0.3">
      <c r="A194" t="s">
        <v>275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  <c r="R194" s="5" t="str">
        <f t="shared" si="6"/>
        <v>Low Sale</v>
      </c>
      <c r="S194" s="7">
        <f t="shared" si="7"/>
        <v>4.7619047619047628</v>
      </c>
      <c r="T194" s="7" t="str" cm="1">
        <f t="array" ref="T194">_xlfn.IFS(Q193&gt;=8,"Excellent",Q193&gt;=6,"Good",Q193&gt;=4,"Average",TRUE,"Poor")</f>
        <v>Average</v>
      </c>
      <c r="U194" s="9">
        <f t="shared" si="8"/>
        <v>4.7804301984041077E-4</v>
      </c>
      <c r="V194" s="7" t="str" cm="1">
        <f t="array" ref="V194">_xlfn.IFS(HOUR(L193)&lt;12,"Morning",HOUR(L193)&lt;17,"Afternoon",HOUR(L193)&lt;21,"Evening",TRUE,"Night")</f>
        <v>Afternoon</v>
      </c>
    </row>
    <row r="195" spans="1:22" x14ac:dyDescent="0.3">
      <c r="A195" t="s">
        <v>276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  <c r="R195" s="5" t="str">
        <f t="shared" si="6"/>
        <v>Medium Sale</v>
      </c>
      <c r="S195" s="7">
        <f t="shared" si="7"/>
        <v>4.7619047619047619</v>
      </c>
      <c r="T195" s="7" t="str" cm="1">
        <f t="array" ref="T195">_xlfn.IFS(Q194&gt;=8,"Excellent",Q194&gt;=6,"Good",Q194&gt;=4,"Average",TRUE,"Poor")</f>
        <v>Excellent</v>
      </c>
      <c r="U195" s="9">
        <f t="shared" si="8"/>
        <v>2.5690260764274523E-3</v>
      </c>
      <c r="V195" s="7" t="str" cm="1">
        <f t="array" ref="V195">_xlfn.IFS(HOUR(L194)&lt;12,"Morning",HOUR(L194)&lt;17,"Afternoon",HOUR(L194)&lt;21,"Evening",TRUE,"Night")</f>
        <v>Evening</v>
      </c>
    </row>
    <row r="196" spans="1:22" x14ac:dyDescent="0.3">
      <c r="A196" t="s">
        <v>277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  <c r="R196" s="5" t="str">
        <f t="shared" ref="R196:R259" si="9">IF(J195&gt;=1000,"High Sale",IF(J195&gt;=500,"Medium Sale","Low Sale"))</f>
        <v>Low Sale</v>
      </c>
      <c r="S196" s="7">
        <f t="shared" ref="S196:S259" si="10">(P195/J195)*100</f>
        <v>4.7619047619047628</v>
      </c>
      <c r="T196" s="7" t="str" cm="1">
        <f t="array" ref="T196">_xlfn.IFS(Q195&gt;=8,"Excellent",Q195&gt;=6,"Good",Q195&gt;=4,"Average",TRUE,"Poor")</f>
        <v>Average</v>
      </c>
      <c r="U196" s="9">
        <f t="shared" ref="U196:U259" si="11">J195/SUM($J$2:$J$1001)</f>
        <v>3.3226330677155864E-4</v>
      </c>
      <c r="V196" s="7" t="str" cm="1">
        <f t="array" ref="V196">_xlfn.IFS(HOUR(L195)&lt;12,"Morning",HOUR(L195)&lt;17,"Afternoon",HOUR(L195)&lt;21,"Evening",TRUE,"Night")</f>
        <v>Evening</v>
      </c>
    </row>
    <row r="197" spans="1:22" x14ac:dyDescent="0.3">
      <c r="A197" t="s">
        <v>278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  <c r="R197" s="5" t="str">
        <f t="shared" si="9"/>
        <v>Low Sale</v>
      </c>
      <c r="S197" s="7">
        <f t="shared" si="10"/>
        <v>4.7619047619047628</v>
      </c>
      <c r="T197" s="7" t="str" cm="1">
        <f t="array" ref="T197">_xlfn.IFS(Q196&gt;=8,"Excellent",Q196&gt;=6,"Good",Q196&gt;=4,"Average",TRUE,"Poor")</f>
        <v>Excellent</v>
      </c>
      <c r="U197" s="9">
        <f t="shared" si="11"/>
        <v>5.3171882409479851E-4</v>
      </c>
      <c r="V197" s="7" t="str" cm="1">
        <f t="array" ref="V197">_xlfn.IFS(HOUR(L196)&lt;12,"Morning",HOUR(L196)&lt;17,"Afternoon",HOUR(L196)&lt;21,"Evening",TRUE,"Night")</f>
        <v>Morning</v>
      </c>
    </row>
    <row r="198" spans="1:22" x14ac:dyDescent="0.3">
      <c r="A198" t="s">
        <v>279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  <c r="R198" s="5" t="str">
        <f t="shared" si="9"/>
        <v>Low Sale</v>
      </c>
      <c r="S198" s="7">
        <f t="shared" si="10"/>
        <v>4.7619047619047628</v>
      </c>
      <c r="T198" s="7" t="str" cm="1">
        <f t="array" ref="T198">_xlfn.IFS(Q197&gt;=8,"Excellent",Q197&gt;=6,"Good",Q197&gt;=4,"Average",TRUE,"Poor")</f>
        <v>Average</v>
      </c>
      <c r="U198" s="9">
        <f t="shared" si="11"/>
        <v>2.4152486360136096E-4</v>
      </c>
      <c r="V198" s="7" t="str" cm="1">
        <f t="array" ref="V198">_xlfn.IFS(HOUR(L197)&lt;12,"Morning",HOUR(L197)&lt;17,"Afternoon",HOUR(L197)&lt;21,"Evening",TRUE,"Night")</f>
        <v>Evening</v>
      </c>
    </row>
    <row r="199" spans="1:22" x14ac:dyDescent="0.3">
      <c r="A199" t="s">
        <v>280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  <c r="R199" s="5" t="str">
        <f t="shared" si="9"/>
        <v>Low Sale</v>
      </c>
      <c r="S199" s="7">
        <f t="shared" si="10"/>
        <v>4.7619047619047628</v>
      </c>
      <c r="T199" s="7" t="str" cm="1">
        <f t="array" ref="T199">_xlfn.IFS(Q198&gt;=8,"Excellent",Q198&gt;=6,"Good",Q198&gt;=4,"Average",TRUE,"Poor")</f>
        <v>Average</v>
      </c>
      <c r="U199" s="9">
        <f t="shared" si="11"/>
        <v>2.8414689835454233E-4</v>
      </c>
      <c r="V199" s="7" t="str" cm="1">
        <f t="array" ref="V199">_xlfn.IFS(HOUR(L198)&lt;12,"Morning",HOUR(L198)&lt;17,"Afternoon",HOUR(L198)&lt;21,"Evening",TRUE,"Night")</f>
        <v>Evening</v>
      </c>
    </row>
    <row r="200" spans="1:22" x14ac:dyDescent="0.3">
      <c r="A200" t="s">
        <v>281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  <c r="R200" s="5" t="str">
        <f t="shared" si="9"/>
        <v>Low Sale</v>
      </c>
      <c r="S200" s="7">
        <f t="shared" si="10"/>
        <v>4.7619047619047619</v>
      </c>
      <c r="T200" s="7" t="str" cm="1">
        <f t="array" ref="T200">_xlfn.IFS(Q199&gt;=8,"Excellent",Q199&gt;=6,"Good",Q199&gt;=4,"Average",TRUE,"Poor")</f>
        <v>Good</v>
      </c>
      <c r="U200" s="9">
        <f t="shared" si="11"/>
        <v>8.2220538436915045E-5</v>
      </c>
      <c r="V200" s="7" t="str" cm="1">
        <f t="array" ref="V200">_xlfn.IFS(HOUR(L199)&lt;12,"Morning",HOUR(L199)&lt;17,"Afternoon",HOUR(L199)&lt;21,"Evening",TRUE,"Night")</f>
        <v>Morning</v>
      </c>
    </row>
    <row r="201" spans="1:22" x14ac:dyDescent="0.3">
      <c r="A201" t="s">
        <v>282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  <c r="R201" s="5" t="str">
        <f t="shared" si="9"/>
        <v>Low Sale</v>
      </c>
      <c r="S201" s="7">
        <f t="shared" si="10"/>
        <v>4.7619047619047628</v>
      </c>
      <c r="T201" s="7" t="str" cm="1">
        <f t="array" ref="T201">_xlfn.IFS(Q200&gt;=8,"Excellent",Q200&gt;=6,"Good",Q200&gt;=4,"Average",TRUE,"Poor")</f>
        <v>Excellent</v>
      </c>
      <c r="U201" s="9">
        <f t="shared" si="11"/>
        <v>5.3968404035302086E-4</v>
      </c>
      <c r="V201" s="7" t="str" cm="1">
        <f t="array" ref="V201">_xlfn.IFS(HOUR(L200)&lt;12,"Morning",HOUR(L200)&lt;17,"Afternoon",HOUR(L200)&lt;21,"Evening",TRUE,"Night")</f>
        <v>Evening</v>
      </c>
    </row>
    <row r="202" spans="1:22" x14ac:dyDescent="0.3">
      <c r="A202" t="s">
        <v>283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  <c r="R202" s="5" t="str">
        <f t="shared" si="9"/>
        <v>Low Sale</v>
      </c>
      <c r="S202" s="7">
        <f t="shared" si="10"/>
        <v>4.7619047619047619</v>
      </c>
      <c r="T202" s="7" t="str" cm="1">
        <f t="array" ref="T202">_xlfn.IFS(Q201&gt;=8,"Excellent",Q201&gt;=6,"Good",Q201&gt;=4,"Average",TRUE,"Poor")</f>
        <v>Average</v>
      </c>
      <c r="U202" s="9">
        <f t="shared" si="11"/>
        <v>1.1604832421928362E-3</v>
      </c>
      <c r="V202" s="7" t="str" cm="1">
        <f t="array" ref="V202">_xlfn.IFS(HOUR(L201)&lt;12,"Morning",HOUR(L201)&lt;17,"Afternoon",HOUR(L201)&lt;21,"Evening",TRUE,"Night")</f>
        <v>Evening</v>
      </c>
    </row>
    <row r="203" spans="1:22" x14ac:dyDescent="0.3">
      <c r="A203" t="s">
        <v>284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  <c r="R203" s="5" t="str">
        <f t="shared" si="9"/>
        <v>Low Sale</v>
      </c>
      <c r="S203" s="7">
        <f t="shared" si="10"/>
        <v>4.7619047619047628</v>
      </c>
      <c r="T203" s="7" t="str" cm="1">
        <f t="array" ref="T203">_xlfn.IFS(Q202&gt;=8,"Excellent",Q202&gt;=6,"Good",Q202&gt;=4,"Average",TRUE,"Poor")</f>
        <v>Good</v>
      </c>
      <c r="U203" s="9">
        <f t="shared" si="11"/>
        <v>3.7355238696724154E-4</v>
      </c>
      <c r="V203" s="7" t="str" cm="1">
        <f t="array" ref="V203">_xlfn.IFS(HOUR(L202)&lt;12,"Morning",HOUR(L202)&lt;17,"Afternoon",HOUR(L202)&lt;21,"Evening",TRUE,"Night")</f>
        <v>Morning</v>
      </c>
    </row>
    <row r="204" spans="1:22" x14ac:dyDescent="0.3">
      <c r="A204" t="s">
        <v>285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286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5" t="str">
        <f t="shared" si="9"/>
        <v>Low Sale</v>
      </c>
      <c r="S204" s="7">
        <f t="shared" si="10"/>
        <v>4.7619047619047619</v>
      </c>
      <c r="T204" s="7" t="str" cm="1">
        <f t="array" ref="T204">_xlfn.IFS(Q203&gt;=8,"Excellent",Q203&gt;=6,"Good",Q203&gt;=4,"Average",TRUE,"Poor")</f>
        <v>Good</v>
      </c>
      <c r="U204" s="9">
        <f t="shared" si="11"/>
        <v>7.4762495132277512E-4</v>
      </c>
      <c r="V204" s="7" t="str" cm="1">
        <f t="array" ref="V204">_xlfn.IFS(HOUR(L203)&lt;12,"Morning",HOUR(L203)&lt;17,"Afternoon",HOUR(L203)&lt;21,"Evening",TRUE,"Night")</f>
        <v>Morning</v>
      </c>
    </row>
    <row r="205" spans="1:22" x14ac:dyDescent="0.3">
      <c r="A205" t="s">
        <v>287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  <c r="R205" s="5" t="str">
        <f t="shared" si="9"/>
        <v>Low Sale</v>
      </c>
      <c r="S205" s="7">
        <f t="shared" si="10"/>
        <v>4.7619047619047628</v>
      </c>
      <c r="T205" s="7" t="str" cm="1">
        <f t="array" ref="T205">_xlfn.IFS(Q204&gt;=8,"Excellent",Q204&gt;=6,"Good",Q204&gt;=4,"Average",TRUE,"Poor")</f>
        <v>Excellent</v>
      </c>
      <c r="U205" s="9">
        <f t="shared" si="11"/>
        <v>1.3975540869069463E-3</v>
      </c>
      <c r="V205" s="7" t="str" cm="1">
        <f t="array" ref="V205">_xlfn.IFS(HOUR(L204)&lt;12,"Morning",HOUR(L204)&lt;17,"Afternoon",HOUR(L204)&lt;21,"Evening",TRUE,"Night")</f>
        <v>Morning</v>
      </c>
    </row>
    <row r="206" spans="1:22" x14ac:dyDescent="0.3">
      <c r="A206" t="s">
        <v>288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  <c r="R206" s="5" t="str">
        <f t="shared" si="9"/>
        <v>Low Sale</v>
      </c>
      <c r="S206" s="7">
        <f t="shared" si="10"/>
        <v>4.7619047619047619</v>
      </c>
      <c r="T206" s="7" t="str" cm="1">
        <f t="array" ref="T206">_xlfn.IFS(Q205&gt;=8,"Excellent",Q205&gt;=6,"Good",Q205&gt;=4,"Average",TRUE,"Poor")</f>
        <v>Excellent</v>
      </c>
      <c r="U206" s="9">
        <f t="shared" si="11"/>
        <v>8.4203714729778553E-4</v>
      </c>
      <c r="V206" s="7" t="str" cm="1">
        <f t="array" ref="V206">_xlfn.IFS(HOUR(L205)&lt;12,"Morning",HOUR(L205)&lt;17,"Afternoon",HOUR(L205)&lt;21,"Evening",TRUE,"Night")</f>
        <v>Afternoon</v>
      </c>
    </row>
    <row r="207" spans="1:22" x14ac:dyDescent="0.3">
      <c r="A207" t="s">
        <v>289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  <c r="R207" s="5" t="str">
        <f t="shared" si="9"/>
        <v>Low Sale</v>
      </c>
      <c r="S207" s="7">
        <f t="shared" si="10"/>
        <v>4.7619047619047619</v>
      </c>
      <c r="T207" s="7" t="str" cm="1">
        <f t="array" ref="T207">_xlfn.IFS(Q206&gt;=8,"Excellent",Q206&gt;=6,"Good",Q206&gt;=4,"Average",TRUE,"Poor")</f>
        <v>Average</v>
      </c>
      <c r="U207" s="9">
        <f t="shared" si="11"/>
        <v>2.888610059359392E-4</v>
      </c>
      <c r="V207" s="7" t="str" cm="1">
        <f t="array" ref="V207">_xlfn.IFS(HOUR(L206)&lt;12,"Morning",HOUR(L206)&lt;17,"Afternoon",HOUR(L206)&lt;21,"Evening",TRUE,"Night")</f>
        <v>Afternoon</v>
      </c>
    </row>
    <row r="208" spans="1:22" x14ac:dyDescent="0.3">
      <c r="A208" t="s">
        <v>290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  <c r="R208" s="5" t="str">
        <f t="shared" si="9"/>
        <v>Low Sale</v>
      </c>
      <c r="S208" s="7">
        <f t="shared" si="10"/>
        <v>4.7619047619047628</v>
      </c>
      <c r="T208" s="7" t="str" cm="1">
        <f t="array" ref="T208">_xlfn.IFS(Q207&gt;=8,"Excellent",Q207&gt;=6,"Good",Q207&gt;=4,"Average",TRUE,"Poor")</f>
        <v>Good</v>
      </c>
      <c r="U208" s="9">
        <f t="shared" si="11"/>
        <v>6.7385729544560628E-4</v>
      </c>
      <c r="V208" s="7" t="str" cm="1">
        <f t="array" ref="V208">_xlfn.IFS(HOUR(L207)&lt;12,"Morning",HOUR(L207)&lt;17,"Afternoon",HOUR(L207)&lt;21,"Evening",TRUE,"Night")</f>
        <v>Afternoon</v>
      </c>
    </row>
    <row r="209" spans="1:22" x14ac:dyDescent="0.3">
      <c r="A209" t="s">
        <v>291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292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  <c r="R209" s="5" t="str">
        <f t="shared" si="9"/>
        <v>Medium Sale</v>
      </c>
      <c r="S209" s="7">
        <f t="shared" si="10"/>
        <v>4.7619047619047628</v>
      </c>
      <c r="T209" s="7" t="str" cm="1">
        <f t="array" ref="T209">_xlfn.IFS(Q208&gt;=8,"Excellent",Q208&gt;=6,"Good",Q208&gt;=4,"Average",TRUE,"Poor")</f>
        <v>Excellent</v>
      </c>
      <c r="U209" s="9">
        <f t="shared" si="11"/>
        <v>1.9501775397937323E-3</v>
      </c>
      <c r="V209" s="7" t="str" cm="1">
        <f t="array" ref="V209">_xlfn.IFS(HOUR(L208)&lt;12,"Morning",HOUR(L208)&lt;17,"Afternoon",HOUR(L208)&lt;21,"Evening",TRUE,"Night")</f>
        <v>Evening</v>
      </c>
    </row>
    <row r="210" spans="1:22" x14ac:dyDescent="0.3">
      <c r="A210" t="s">
        <v>293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5" t="str">
        <f t="shared" si="9"/>
        <v>Low Sale</v>
      </c>
      <c r="S210" s="7">
        <f t="shared" si="10"/>
        <v>4.7619047619047628</v>
      </c>
      <c r="T210" s="7" t="str" cm="1">
        <f t="array" ref="T210">_xlfn.IFS(Q209&gt;=8,"Excellent",Q209&gt;=6,"Good",Q209&gt;=4,"Average",TRUE,"Poor")</f>
        <v>Good</v>
      </c>
      <c r="U210" s="9">
        <f t="shared" si="11"/>
        <v>9.2754130549829435E-4</v>
      </c>
      <c r="V210" s="7" t="str" cm="1">
        <f t="array" ref="V210">_xlfn.IFS(HOUR(L209)&lt;12,"Morning",HOUR(L209)&lt;17,"Afternoon",HOUR(L209)&lt;21,"Evening",TRUE,"Night")</f>
        <v>Evening</v>
      </c>
    </row>
    <row r="211" spans="1:22" x14ac:dyDescent="0.3">
      <c r="A211" t="s">
        <v>294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  <c r="R211" s="5" t="str">
        <f t="shared" si="9"/>
        <v>Low Sale</v>
      </c>
      <c r="S211" s="7">
        <f t="shared" si="10"/>
        <v>4.7619047619047628</v>
      </c>
      <c r="T211" s="7" t="str" cm="1">
        <f t="array" ref="T211">_xlfn.IFS(Q210&gt;=8,"Excellent",Q210&gt;=6,"Good",Q210&gt;=4,"Average",TRUE,"Poor")</f>
        <v>Average</v>
      </c>
      <c r="U211" s="9">
        <f t="shared" si="11"/>
        <v>2.9620851154556465E-4</v>
      </c>
      <c r="V211" s="7" t="str" cm="1">
        <f t="array" ref="V211">_xlfn.IFS(HOUR(L210)&lt;12,"Morning",HOUR(L210)&lt;17,"Afternoon",HOUR(L210)&lt;21,"Evening",TRUE,"Night")</f>
        <v>Afternoon</v>
      </c>
    </row>
    <row r="212" spans="1:22" x14ac:dyDescent="0.3">
      <c r="A212" t="s">
        <v>295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  <c r="R212" s="5" t="str">
        <f t="shared" si="9"/>
        <v>Medium Sale</v>
      </c>
      <c r="S212" s="7">
        <f t="shared" si="10"/>
        <v>4.7619047619047628</v>
      </c>
      <c r="T212" s="7" t="str" cm="1">
        <f t="array" ref="T212">_xlfn.IFS(Q211&gt;=8,"Excellent",Q211&gt;=6,"Good",Q211&gt;=4,"Average",TRUE,"Poor")</f>
        <v>Good</v>
      </c>
      <c r="U212" s="9">
        <f t="shared" si="11"/>
        <v>2.9180976150581985E-3</v>
      </c>
      <c r="V212" s="7" t="str" cm="1">
        <f t="array" ref="V212">_xlfn.IFS(HOUR(L211)&lt;12,"Morning",HOUR(L211)&lt;17,"Afternoon",HOUR(L211)&lt;21,"Evening",TRUE,"Night")</f>
        <v>Evening</v>
      </c>
    </row>
    <row r="213" spans="1:22" x14ac:dyDescent="0.3">
      <c r="A213" t="s">
        <v>296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5" t="str">
        <f t="shared" si="9"/>
        <v>Low Sale</v>
      </c>
      <c r="S213" s="7">
        <f t="shared" si="10"/>
        <v>4.7619047619047619</v>
      </c>
      <c r="T213" s="7" t="str" cm="1">
        <f t="array" ref="T213">_xlfn.IFS(Q212&gt;=8,"Excellent",Q212&gt;=6,"Good",Q212&gt;=4,"Average",TRUE,"Poor")</f>
        <v>Average</v>
      </c>
      <c r="U213" s="9">
        <f t="shared" si="11"/>
        <v>7.6748922533817856E-4</v>
      </c>
      <c r="V213" s="7" t="str" cm="1">
        <f t="array" ref="V213">_xlfn.IFS(HOUR(L212)&lt;12,"Morning",HOUR(L212)&lt;17,"Afternoon",HOUR(L212)&lt;21,"Evening",TRUE,"Night")</f>
        <v>Evening</v>
      </c>
    </row>
    <row r="214" spans="1:22" x14ac:dyDescent="0.3">
      <c r="A214" t="s">
        <v>297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298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  <c r="R214" s="5" t="str">
        <f t="shared" si="9"/>
        <v>Medium Sale</v>
      </c>
      <c r="S214" s="7">
        <f t="shared" si="10"/>
        <v>4.7619047619047619</v>
      </c>
      <c r="T214" s="7" t="str" cm="1">
        <f t="array" ref="T214">_xlfn.IFS(Q213&gt;=8,"Excellent",Q213&gt;=6,"Good",Q213&gt;=4,"Average",TRUE,"Poor")</f>
        <v>Excellent</v>
      </c>
      <c r="U214" s="9">
        <f t="shared" si="11"/>
        <v>2.7287855568066538E-3</v>
      </c>
      <c r="V214" s="7" t="str" cm="1">
        <f t="array" ref="V214">_xlfn.IFS(HOUR(L213)&lt;12,"Morning",HOUR(L213)&lt;17,"Afternoon",HOUR(L213)&lt;21,"Evening",TRUE,"Night")</f>
        <v>Evening</v>
      </c>
    </row>
    <row r="215" spans="1:22" x14ac:dyDescent="0.3">
      <c r="A215" t="s">
        <v>299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5" t="str">
        <f t="shared" si="9"/>
        <v>Low Sale</v>
      </c>
      <c r="S215" s="7">
        <f t="shared" si="10"/>
        <v>4.7619047619047628</v>
      </c>
      <c r="T215" s="7" t="str" cm="1">
        <f t="array" ref="T215">_xlfn.IFS(Q214&gt;=8,"Excellent",Q214&gt;=6,"Good",Q214&gt;=4,"Average",TRUE,"Poor")</f>
        <v>Average</v>
      </c>
      <c r="U215" s="9">
        <f t="shared" si="11"/>
        <v>1.501361986957982E-3</v>
      </c>
      <c r="V215" s="7" t="str" cm="1">
        <f t="array" ref="V215">_xlfn.IFS(HOUR(L214)&lt;12,"Morning",HOUR(L214)&lt;17,"Afternoon",HOUR(L214)&lt;21,"Evening",TRUE,"Night")</f>
        <v>Evening</v>
      </c>
    </row>
    <row r="216" spans="1:22" x14ac:dyDescent="0.3">
      <c r="A216" t="s">
        <v>300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  <c r="R216" s="5" t="str">
        <f t="shared" si="9"/>
        <v>Low Sale</v>
      </c>
      <c r="S216" s="7">
        <f t="shared" si="10"/>
        <v>4.7619047619047619</v>
      </c>
      <c r="T216" s="7" t="str" cm="1">
        <f t="array" ref="T216">_xlfn.IFS(Q215&gt;=8,"Excellent",Q215&gt;=6,"Good",Q215&gt;=4,"Average",TRUE,"Poor")</f>
        <v>Average</v>
      </c>
      <c r="U216" s="9">
        <f t="shared" si="11"/>
        <v>4.52749394334709E-4</v>
      </c>
      <c r="V216" s="7" t="str" cm="1">
        <f t="array" ref="V216">_xlfn.IFS(HOUR(L215)&lt;12,"Morning",HOUR(L215)&lt;17,"Afternoon",HOUR(L215)&lt;21,"Evening",TRUE,"Night")</f>
        <v>Afternoon</v>
      </c>
    </row>
    <row r="217" spans="1:22" x14ac:dyDescent="0.3">
      <c r="A217" t="s">
        <v>301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5" t="str">
        <f t="shared" si="9"/>
        <v>Low Sale</v>
      </c>
      <c r="S217" s="7">
        <f t="shared" si="10"/>
        <v>4.7619047619047628</v>
      </c>
      <c r="T217" s="7" t="str" cm="1">
        <f t="array" ref="T217">_xlfn.IFS(Q216&gt;=8,"Excellent",Q216&gt;=6,"Good",Q216&gt;=4,"Average",TRUE,"Poor")</f>
        <v>Good</v>
      </c>
      <c r="U217" s="9">
        <f t="shared" si="11"/>
        <v>6.7385729544560628E-4</v>
      </c>
      <c r="V217" s="7" t="str" cm="1">
        <f t="array" ref="V217">_xlfn.IFS(HOUR(L216)&lt;12,"Morning",HOUR(L216)&lt;17,"Afternoon",HOUR(L216)&lt;21,"Evening",TRUE,"Night")</f>
        <v>Afternoon</v>
      </c>
    </row>
    <row r="218" spans="1:22" x14ac:dyDescent="0.3">
      <c r="A218" t="s">
        <v>302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  <c r="R218" s="5" t="str">
        <f t="shared" si="9"/>
        <v>Low Sale</v>
      </c>
      <c r="S218" s="7">
        <f t="shared" si="10"/>
        <v>4.7619047619047628</v>
      </c>
      <c r="T218" s="7" t="str" cm="1">
        <f t="array" ref="T218">_xlfn.IFS(Q217&gt;=8,"Excellent",Q217&gt;=6,"Good",Q217&gt;=4,"Average",TRUE,"Poor")</f>
        <v>Excellent</v>
      </c>
      <c r="U218" s="9">
        <f t="shared" si="11"/>
        <v>5.9430266612368805E-5</v>
      </c>
      <c r="V218" s="7" t="str" cm="1">
        <f t="array" ref="V218">_xlfn.IFS(HOUR(L217)&lt;12,"Morning",HOUR(L217)&lt;17,"Afternoon",HOUR(L217)&lt;21,"Evening",TRUE,"Night")</f>
        <v>Afternoon</v>
      </c>
    </row>
    <row r="219" spans="1:22" x14ac:dyDescent="0.3">
      <c r="A219" t="s">
        <v>303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304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  <c r="R219" s="5" t="str">
        <f t="shared" si="9"/>
        <v>Low Sale</v>
      </c>
      <c r="S219" s="7">
        <f t="shared" si="10"/>
        <v>4.7619047619047628</v>
      </c>
      <c r="T219" s="7" t="str" cm="1">
        <f t="array" ref="T219">_xlfn.IFS(Q218&gt;=8,"Excellent",Q218&gt;=6,"Good",Q218&gt;=4,"Average",TRUE,"Poor")</f>
        <v>Excellent</v>
      </c>
      <c r="U219" s="9">
        <f t="shared" si="11"/>
        <v>4.0264980962482908E-4</v>
      </c>
      <c r="V219" s="7" t="str" cm="1">
        <f t="array" ref="V219">_xlfn.IFS(HOUR(L218)&lt;12,"Morning",HOUR(L218)&lt;17,"Afternoon",HOUR(L218)&lt;21,"Evening",TRUE,"Night")</f>
        <v>Evening</v>
      </c>
    </row>
    <row r="220" spans="1:22" x14ac:dyDescent="0.3">
      <c r="A220" t="s">
        <v>305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  <c r="R220" s="5" t="str">
        <f t="shared" si="9"/>
        <v>Low Sale</v>
      </c>
      <c r="S220" s="7">
        <f t="shared" si="10"/>
        <v>4.7619047619047628</v>
      </c>
      <c r="T220" s="7" t="str" cm="1">
        <f t="array" ref="T220">_xlfn.IFS(Q219&gt;=8,"Excellent",Q219&gt;=6,"Good",Q219&gt;=4,"Average",TRUE,"Poor")</f>
        <v>Average</v>
      </c>
      <c r="U220" s="9">
        <f t="shared" si="11"/>
        <v>9.230547755242752E-4</v>
      </c>
      <c r="V220" s="7" t="str" cm="1">
        <f t="array" ref="V220">_xlfn.IFS(HOUR(L219)&lt;12,"Morning",HOUR(L219)&lt;17,"Afternoon",HOUR(L219)&lt;21,"Evening",TRUE,"Night")</f>
        <v>Afternoon</v>
      </c>
    </row>
    <row r="221" spans="1:22" x14ac:dyDescent="0.3">
      <c r="A221" t="s">
        <v>306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  <c r="R221" s="5" t="str">
        <f t="shared" si="9"/>
        <v>Medium Sale</v>
      </c>
      <c r="S221" s="7">
        <f t="shared" si="10"/>
        <v>4.7619047619047619</v>
      </c>
      <c r="T221" s="7" t="str" cm="1">
        <f t="array" ref="T221">_xlfn.IFS(Q220&gt;=8,"Excellent",Q220&gt;=6,"Good",Q220&gt;=4,"Average",TRUE,"Poor")</f>
        <v>Excellent</v>
      </c>
      <c r="U221" s="9">
        <f t="shared" si="11"/>
        <v>2.4674614413634261E-3</v>
      </c>
      <c r="V221" s="7" t="str" cm="1">
        <f t="array" ref="V221">_xlfn.IFS(HOUR(L220)&lt;12,"Morning",HOUR(L220)&lt;17,"Afternoon",HOUR(L220)&lt;21,"Evening",TRUE,"Night")</f>
        <v>Afternoon</v>
      </c>
    </row>
    <row r="222" spans="1:22" x14ac:dyDescent="0.3">
      <c r="A222" t="s">
        <v>307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308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  <c r="R222" s="5" t="str">
        <f t="shared" si="9"/>
        <v>Low Sale</v>
      </c>
      <c r="S222" s="7">
        <f t="shared" si="10"/>
        <v>4.7619047619047628</v>
      </c>
      <c r="T222" s="7" t="str" cm="1">
        <f t="array" ref="T222">_xlfn.IFS(Q221&gt;=8,"Excellent",Q221&gt;=6,"Good",Q221&gt;=4,"Average",TRUE,"Poor")</f>
        <v>Good</v>
      </c>
      <c r="U222" s="9">
        <f t="shared" si="11"/>
        <v>5.5925571458750997E-4</v>
      </c>
      <c r="V222" s="7" t="str" cm="1">
        <f t="array" ref="V222">_xlfn.IFS(HOUR(L221)&lt;12,"Morning",HOUR(L221)&lt;17,"Afternoon",HOUR(L221)&lt;21,"Evening",TRUE,"Night")</f>
        <v>Evening</v>
      </c>
    </row>
    <row r="223" spans="1:22" x14ac:dyDescent="0.3">
      <c r="A223" t="s">
        <v>309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  <c r="R223" s="5" t="str">
        <f t="shared" si="9"/>
        <v>Low Sale</v>
      </c>
      <c r="S223" s="7">
        <f t="shared" si="10"/>
        <v>4.7619047619047628</v>
      </c>
      <c r="T223" s="7" t="str" cm="1">
        <f t="array" ref="T223">_xlfn.IFS(Q222&gt;=8,"Excellent",Q222&gt;=6,"Good",Q222&gt;=4,"Average",TRUE,"Poor")</f>
        <v>Good</v>
      </c>
      <c r="U223" s="9">
        <f t="shared" si="11"/>
        <v>8.846266709641986E-4</v>
      </c>
      <c r="V223" s="7" t="str" cm="1">
        <f t="array" ref="V223">_xlfn.IFS(HOUR(L222)&lt;12,"Morning",HOUR(L222)&lt;17,"Afternoon",HOUR(L222)&lt;21,"Evening",TRUE,"Night")</f>
        <v>Afternoon</v>
      </c>
    </row>
    <row r="224" spans="1:22" x14ac:dyDescent="0.3">
      <c r="A224" t="s">
        <v>310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  <c r="R224" s="5" t="str">
        <f t="shared" si="9"/>
        <v>Low Sale</v>
      </c>
      <c r="S224" s="7">
        <f t="shared" si="10"/>
        <v>4.7619047619047628</v>
      </c>
      <c r="T224" s="7" t="str" cm="1">
        <f t="array" ref="T224">_xlfn.IFS(Q223&gt;=8,"Excellent",Q223&gt;=6,"Good",Q223&gt;=4,"Average",TRUE,"Poor")</f>
        <v>Average</v>
      </c>
      <c r="U224" s="9">
        <f t="shared" si="11"/>
        <v>1.4128017866012576E-3</v>
      </c>
      <c r="V224" s="7" t="str" cm="1">
        <f t="array" ref="V224">_xlfn.IFS(HOUR(L223)&lt;12,"Morning",HOUR(L223)&lt;17,"Afternoon",HOUR(L223)&lt;21,"Evening",TRUE,"Night")</f>
        <v>Afternoon</v>
      </c>
    </row>
    <row r="225" spans="1:22" x14ac:dyDescent="0.3">
      <c r="A225" t="s">
        <v>311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304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  <c r="R225" s="5" t="str">
        <f t="shared" si="9"/>
        <v>Low Sale</v>
      </c>
      <c r="S225" s="7">
        <f t="shared" si="10"/>
        <v>4.7619047619047628</v>
      </c>
      <c r="T225" s="7" t="str" cm="1">
        <f t="array" ref="T225">_xlfn.IFS(Q224&gt;=8,"Excellent",Q224&gt;=6,"Good",Q224&gt;=4,"Average",TRUE,"Poor")</f>
        <v>Excellent</v>
      </c>
      <c r="U225" s="9">
        <f t="shared" si="11"/>
        <v>1.9197796736654144E-4</v>
      </c>
      <c r="V225" s="7" t="str" cm="1">
        <f t="array" ref="V225">_xlfn.IFS(HOUR(L224)&lt;12,"Morning",HOUR(L224)&lt;17,"Afternoon",HOUR(L224)&lt;21,"Evening",TRUE,"Night")</f>
        <v>Evening</v>
      </c>
    </row>
    <row r="226" spans="1:22" x14ac:dyDescent="0.3">
      <c r="A226" t="s">
        <v>312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298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  <c r="R226" s="5" t="str">
        <f t="shared" si="9"/>
        <v>Low Sale</v>
      </c>
      <c r="S226" s="7">
        <f t="shared" si="10"/>
        <v>4.7619047619047619</v>
      </c>
      <c r="T226" s="7" t="str" cm="1">
        <f t="array" ref="T226">_xlfn.IFS(Q225&gt;=8,"Excellent",Q225&gt;=6,"Good",Q225&gt;=4,"Average",TRUE,"Poor")</f>
        <v>Excellent</v>
      </c>
      <c r="U226" s="9">
        <f t="shared" si="11"/>
        <v>4.0768902807390851E-5</v>
      </c>
      <c r="V226" s="7" t="str" cm="1">
        <f t="array" ref="V226">_xlfn.IFS(HOUR(L225)&lt;12,"Morning",HOUR(L225)&lt;17,"Afternoon",HOUR(L225)&lt;21,"Evening",TRUE,"Night")</f>
        <v>Afternoon</v>
      </c>
    </row>
    <row r="227" spans="1:22" x14ac:dyDescent="0.3">
      <c r="A227" t="s">
        <v>313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5" t="str">
        <f t="shared" si="9"/>
        <v>Low Sale</v>
      </c>
      <c r="S227" s="7">
        <f t="shared" si="10"/>
        <v>4.7619047619047619</v>
      </c>
      <c r="T227" s="7" t="str" cm="1">
        <f t="array" ref="T227">_xlfn.IFS(Q226&gt;=8,"Excellent",Q226&gt;=6,"Good",Q226&gt;=4,"Average",TRUE,"Poor")</f>
        <v>Good</v>
      </c>
      <c r="U227" s="9">
        <f t="shared" si="11"/>
        <v>2.8122090054539942E-4</v>
      </c>
      <c r="V227" s="7" t="str" cm="1">
        <f t="array" ref="V227">_xlfn.IFS(HOUR(L226)&lt;12,"Morning",HOUR(L226)&lt;17,"Afternoon",HOUR(L226)&lt;21,"Evening",TRUE,"Night")</f>
        <v>Afternoon</v>
      </c>
    </row>
    <row r="228" spans="1:22" x14ac:dyDescent="0.3">
      <c r="A228" t="s">
        <v>314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  <c r="R228" s="5" t="str">
        <f t="shared" si="9"/>
        <v>Low Sale</v>
      </c>
      <c r="S228" s="7">
        <f t="shared" si="10"/>
        <v>4.7619047619047619</v>
      </c>
      <c r="T228" s="7" t="str" cm="1">
        <f t="array" ref="T228">_xlfn.IFS(Q227&gt;=8,"Excellent",Q227&gt;=6,"Good",Q227&gt;=4,"Average",TRUE,"Poor")</f>
        <v>Excellent</v>
      </c>
      <c r="U228" s="9">
        <f t="shared" si="11"/>
        <v>5.6673326454420841E-4</v>
      </c>
      <c r="V228" s="7" t="str" cm="1">
        <f t="array" ref="V228">_xlfn.IFS(HOUR(L227)&lt;12,"Morning",HOUR(L227)&lt;17,"Afternoon",HOUR(L227)&lt;21,"Evening",TRUE,"Night")</f>
        <v>Afternoon</v>
      </c>
    </row>
    <row r="229" spans="1:22" x14ac:dyDescent="0.3">
      <c r="A229" t="s">
        <v>315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308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5" t="str">
        <f t="shared" si="9"/>
        <v>Medium Sale</v>
      </c>
      <c r="S229" s="7">
        <f t="shared" si="10"/>
        <v>4.7619047619047619</v>
      </c>
      <c r="T229" s="7" t="str" cm="1">
        <f t="array" ref="T229">_xlfn.IFS(Q228&gt;=8,"Excellent",Q228&gt;=6,"Good",Q228&gt;=4,"Average",TRUE,"Poor")</f>
        <v>Average</v>
      </c>
      <c r="U229" s="9">
        <f t="shared" si="11"/>
        <v>2.029764680202419E-3</v>
      </c>
      <c r="V229" s="7" t="str" cm="1">
        <f t="array" ref="V229">_xlfn.IFS(HOUR(L228)&lt;12,"Morning",HOUR(L228)&lt;17,"Afternoon",HOUR(L228)&lt;21,"Evening",TRUE,"Night")</f>
        <v>Evening</v>
      </c>
    </row>
    <row r="230" spans="1:22" x14ac:dyDescent="0.3">
      <c r="A230" t="s">
        <v>316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317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  <c r="R230" s="5" t="str">
        <f t="shared" si="9"/>
        <v>Low Sale</v>
      </c>
      <c r="S230" s="7">
        <f t="shared" si="10"/>
        <v>4.7619047619047628</v>
      </c>
      <c r="T230" s="7" t="str" cm="1">
        <f t="array" ref="T230">_xlfn.IFS(Q229&gt;=8,"Excellent",Q229&gt;=6,"Good",Q229&gt;=4,"Average",TRUE,"Poor")</f>
        <v>Excellent</v>
      </c>
      <c r="U230" s="9">
        <f t="shared" si="11"/>
        <v>4.8194435025260127E-4</v>
      </c>
      <c r="V230" s="7" t="str" cm="1">
        <f t="array" ref="V230">_xlfn.IFS(HOUR(L229)&lt;12,"Morning",HOUR(L229)&lt;17,"Afternoon",HOUR(L229)&lt;21,"Evening",TRUE,"Night")</f>
        <v>Afternoon</v>
      </c>
    </row>
    <row r="231" spans="1:22" x14ac:dyDescent="0.3">
      <c r="A231" t="s">
        <v>318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  <c r="R231" s="5" t="str">
        <f t="shared" si="9"/>
        <v>Medium Sale</v>
      </c>
      <c r="S231" s="7">
        <f t="shared" si="10"/>
        <v>4.7619047619047628</v>
      </c>
      <c r="T231" s="7" t="str" cm="1">
        <f t="array" ref="T231">_xlfn.IFS(Q230&gt;=8,"Excellent",Q230&gt;=6,"Good",Q230&gt;=4,"Average",TRUE,"Poor")</f>
        <v>Average</v>
      </c>
      <c r="U231" s="9">
        <f t="shared" si="11"/>
        <v>1.7692533419283972E-3</v>
      </c>
      <c r="V231" s="7" t="str" cm="1">
        <f t="array" ref="V231">_xlfn.IFS(HOUR(L230)&lt;12,"Morning",HOUR(L230)&lt;17,"Afternoon",HOUR(L230)&lt;21,"Evening",TRUE,"Night")</f>
        <v>Morning</v>
      </c>
    </row>
    <row r="232" spans="1:22" x14ac:dyDescent="0.3">
      <c r="A232" t="s">
        <v>319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  <c r="R232" s="5" t="str">
        <f t="shared" si="9"/>
        <v>Medium Sale</v>
      </c>
      <c r="S232" s="7">
        <f t="shared" si="10"/>
        <v>4.7619047619047628</v>
      </c>
      <c r="T232" s="7" t="str" cm="1">
        <f t="array" ref="T232">_xlfn.IFS(Q231&gt;=8,"Excellent",Q231&gt;=6,"Good",Q231&gt;=4,"Average",TRUE,"Poor")</f>
        <v>Good</v>
      </c>
      <c r="U232" s="9">
        <f t="shared" si="11"/>
        <v>1.6494824982741484E-3</v>
      </c>
      <c r="V232" s="7" t="str" cm="1">
        <f t="array" ref="V232">_xlfn.IFS(HOUR(L231)&lt;12,"Morning",HOUR(L231)&lt;17,"Afternoon",HOUR(L231)&lt;21,"Evening",TRUE,"Night")</f>
        <v>Afternoon</v>
      </c>
    </row>
    <row r="233" spans="1:22" x14ac:dyDescent="0.3">
      <c r="A233" t="s">
        <v>320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  <c r="R233" s="5" t="str">
        <f t="shared" si="9"/>
        <v>Low Sale</v>
      </c>
      <c r="S233" s="7">
        <f t="shared" si="10"/>
        <v>4.7619047619047619</v>
      </c>
      <c r="T233" s="7" t="str" cm="1">
        <f t="array" ref="T233">_xlfn.IFS(Q232&gt;=8,"Excellent",Q232&gt;=6,"Good",Q232&gt;=4,"Average",TRUE,"Poor")</f>
        <v>Good</v>
      </c>
      <c r="U233" s="9">
        <f t="shared" si="11"/>
        <v>5.2908542606657004E-4</v>
      </c>
      <c r="V233" s="7" t="str" cm="1">
        <f t="array" ref="V233">_xlfn.IFS(HOUR(L232)&lt;12,"Morning",HOUR(L232)&lt;17,"Afternoon",HOUR(L232)&lt;21,"Evening",TRUE,"Night")</f>
        <v>Evening</v>
      </c>
    </row>
    <row r="234" spans="1:22" x14ac:dyDescent="0.3">
      <c r="A234" t="s">
        <v>321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  <c r="R234" s="5" t="str">
        <f t="shared" si="9"/>
        <v>Low Sale</v>
      </c>
      <c r="S234" s="7">
        <f t="shared" si="10"/>
        <v>4.7619047619047628</v>
      </c>
      <c r="T234" s="7" t="str" cm="1">
        <f t="array" ref="T234">_xlfn.IFS(Q233&gt;=8,"Excellent",Q233&gt;=6,"Good",Q233&gt;=4,"Average",TRUE,"Poor")</f>
        <v>Excellent</v>
      </c>
      <c r="U234" s="9">
        <f t="shared" si="11"/>
        <v>1.0328772266274382E-4</v>
      </c>
      <c r="V234" s="7" t="str" cm="1">
        <f t="array" ref="V234">_xlfn.IFS(HOUR(L233)&lt;12,"Morning",HOUR(L233)&lt;17,"Afternoon",HOUR(L233)&lt;21,"Evening",TRUE,"Night")</f>
        <v>Afternoon</v>
      </c>
    </row>
    <row r="235" spans="1:22" x14ac:dyDescent="0.3">
      <c r="A235" t="s">
        <v>322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304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  <c r="R235" s="5" t="str">
        <f t="shared" si="9"/>
        <v>Medium Sale</v>
      </c>
      <c r="S235" s="7">
        <f t="shared" si="10"/>
        <v>4.7619047619047619</v>
      </c>
      <c r="T235" s="7" t="str" cm="1">
        <f t="array" ref="T235">_xlfn.IFS(Q234&gt;=8,"Excellent",Q234&gt;=6,"Good",Q234&gt;=4,"Average",TRUE,"Poor")</f>
        <v>Excellent</v>
      </c>
      <c r="U235" s="9">
        <f t="shared" si="11"/>
        <v>2.4604715577082512E-3</v>
      </c>
      <c r="V235" s="7" t="str" cm="1">
        <f t="array" ref="V235">_xlfn.IFS(HOUR(L234)&lt;12,"Morning",HOUR(L234)&lt;17,"Afternoon",HOUR(L234)&lt;21,"Evening",TRUE,"Night")</f>
        <v>Morning</v>
      </c>
    </row>
    <row r="236" spans="1:22" x14ac:dyDescent="0.3">
      <c r="A236" t="s">
        <v>323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  <c r="R236" s="5" t="str">
        <f t="shared" si="9"/>
        <v>Low Sale</v>
      </c>
      <c r="S236" s="7">
        <f t="shared" si="10"/>
        <v>4.7619047619047619</v>
      </c>
      <c r="T236" s="7" t="str" cm="1">
        <f t="array" ref="T236">_xlfn.IFS(Q235&gt;=8,"Excellent",Q235&gt;=6,"Good",Q235&gt;=4,"Average",TRUE,"Poor")</f>
        <v>Good</v>
      </c>
      <c r="U236" s="9">
        <f t="shared" si="11"/>
        <v>9.5998737009301205E-4</v>
      </c>
      <c r="V236" s="7" t="str" cm="1">
        <f t="array" ref="V236">_xlfn.IFS(HOUR(L235)&lt;12,"Morning",HOUR(L235)&lt;17,"Afternoon",HOUR(L235)&lt;21,"Evening",TRUE,"Night")</f>
        <v>Evening</v>
      </c>
    </row>
    <row r="237" spans="1:22" x14ac:dyDescent="0.3">
      <c r="A237" t="s">
        <v>324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5" t="str">
        <f t="shared" si="9"/>
        <v>Medium Sale</v>
      </c>
      <c r="S237" s="7">
        <f t="shared" si="10"/>
        <v>4.7619047619047619</v>
      </c>
      <c r="T237" s="7" t="str" cm="1">
        <f t="array" ref="T237">_xlfn.IFS(Q236&gt;=8,"Excellent",Q236&gt;=6,"Good",Q236&gt;=4,"Average",TRUE,"Poor")</f>
        <v>Good</v>
      </c>
      <c r="U237" s="9">
        <f t="shared" si="11"/>
        <v>1.6886258467431268E-3</v>
      </c>
      <c r="V237" s="7" t="str" cm="1">
        <f t="array" ref="V237">_xlfn.IFS(HOUR(L236)&lt;12,"Morning",HOUR(L236)&lt;17,"Afternoon",HOUR(L236)&lt;21,"Evening",TRUE,"Night")</f>
        <v>Evening</v>
      </c>
    </row>
    <row r="238" spans="1:22" x14ac:dyDescent="0.3">
      <c r="A238" t="s">
        <v>325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  <c r="R238" s="5" t="str">
        <f t="shared" si="9"/>
        <v>Low Sale</v>
      </c>
      <c r="S238" s="7">
        <f t="shared" si="10"/>
        <v>4.7619047619047628</v>
      </c>
      <c r="T238" s="7" t="str" cm="1">
        <f t="array" ref="T238">_xlfn.IFS(Q237&gt;=8,"Excellent",Q237&gt;=6,"Good",Q237&gt;=4,"Average",TRUE,"Poor")</f>
        <v>Average</v>
      </c>
      <c r="U238" s="9">
        <f t="shared" si="11"/>
        <v>6.0561652431904056E-4</v>
      </c>
      <c r="V238" s="7" t="str" cm="1">
        <f t="array" ref="V238">_xlfn.IFS(HOUR(L237)&lt;12,"Morning",HOUR(L237)&lt;17,"Afternoon",HOUR(L237)&lt;21,"Evening",TRUE,"Night")</f>
        <v>Evening</v>
      </c>
    </row>
    <row r="239" spans="1:22" x14ac:dyDescent="0.3">
      <c r="A239" t="s">
        <v>326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  <c r="R239" s="5" t="str">
        <f t="shared" si="9"/>
        <v>Low Sale</v>
      </c>
      <c r="S239" s="7">
        <f t="shared" si="10"/>
        <v>4.7619047619047619</v>
      </c>
      <c r="T239" s="7" t="str" cm="1">
        <f t="array" ref="T239">_xlfn.IFS(Q238&gt;=8,"Excellent",Q238&gt;=6,"Good",Q238&gt;=4,"Average",TRUE,"Poor")</f>
        <v>Average</v>
      </c>
      <c r="U239" s="9">
        <f t="shared" si="11"/>
        <v>2.8300901031765344E-4</v>
      </c>
      <c r="V239" s="7" t="str" cm="1">
        <f t="array" ref="V239">_xlfn.IFS(HOUR(L238)&lt;12,"Morning",HOUR(L238)&lt;17,"Afternoon",HOUR(L238)&lt;21,"Evening",TRUE,"Night")</f>
        <v>Afternoon</v>
      </c>
    </row>
    <row r="240" spans="1:22" x14ac:dyDescent="0.3">
      <c r="A240" t="s">
        <v>327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  <c r="R240" s="5" t="str">
        <f t="shared" si="9"/>
        <v>Low Sale</v>
      </c>
      <c r="S240" s="7">
        <f t="shared" si="10"/>
        <v>4.7619047619047619</v>
      </c>
      <c r="T240" s="7" t="str" cm="1">
        <f t="array" ref="T240">_xlfn.IFS(Q239&gt;=8,"Excellent",Q239&gt;=6,"Good",Q239&gt;=4,"Average",TRUE,"Poor")</f>
        <v>Excellent</v>
      </c>
      <c r="U240" s="9">
        <f t="shared" si="11"/>
        <v>7.1882012844610185E-4</v>
      </c>
      <c r="V240" s="7" t="str" cm="1">
        <f t="array" ref="V240">_xlfn.IFS(HOUR(L239)&lt;12,"Morning",HOUR(L239)&lt;17,"Afternoon",HOUR(L239)&lt;21,"Evening",TRUE,"Night")</f>
        <v>Evening</v>
      </c>
    </row>
    <row r="241" spans="1:22" x14ac:dyDescent="0.3">
      <c r="A241" t="s">
        <v>328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5" t="str">
        <f t="shared" si="9"/>
        <v>Low Sale</v>
      </c>
      <c r="S241" s="7">
        <f t="shared" si="10"/>
        <v>4.7619047619047628</v>
      </c>
      <c r="T241" s="7" t="str" cm="1">
        <f t="array" ref="T241">_xlfn.IFS(Q240&gt;=8,"Excellent",Q240&gt;=6,"Good",Q240&gt;=4,"Average",TRUE,"Poor")</f>
        <v>Average</v>
      </c>
      <c r="U241" s="9">
        <f t="shared" si="11"/>
        <v>2.1489828353816071E-4</v>
      </c>
      <c r="V241" s="7" t="str" cm="1">
        <f t="array" ref="V241">_xlfn.IFS(HOUR(L240)&lt;12,"Morning",HOUR(L240)&lt;17,"Afternoon",HOUR(L240)&lt;21,"Evening",TRUE,"Night")</f>
        <v>Evening</v>
      </c>
    </row>
    <row r="242" spans="1:22" x14ac:dyDescent="0.3">
      <c r="A242" t="s">
        <v>329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  <c r="R242" s="5" t="str">
        <f t="shared" si="9"/>
        <v>Low Sale</v>
      </c>
      <c r="S242" s="7">
        <f t="shared" si="10"/>
        <v>4.7619047619047619</v>
      </c>
      <c r="T242" s="7" t="str" cm="1">
        <f t="array" ref="T242">_xlfn.IFS(Q241&gt;=8,"Excellent",Q241&gt;=6,"Good",Q241&gt;=4,"Average",TRUE,"Poor")</f>
        <v>Average</v>
      </c>
      <c r="U242" s="9">
        <f t="shared" si="11"/>
        <v>2.9159193722447252E-4</v>
      </c>
      <c r="V242" s="7" t="str" cm="1">
        <f t="array" ref="V242">_xlfn.IFS(HOUR(L241)&lt;12,"Morning",HOUR(L241)&lt;17,"Afternoon",HOUR(L241)&lt;21,"Evening",TRUE,"Night")</f>
        <v>Morning</v>
      </c>
    </row>
    <row r="243" spans="1:22" x14ac:dyDescent="0.3">
      <c r="A243" t="s">
        <v>330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  <c r="R243" s="5" t="str">
        <f t="shared" si="9"/>
        <v>Low Sale</v>
      </c>
      <c r="S243" s="7">
        <f t="shared" si="10"/>
        <v>4.7619047619047628</v>
      </c>
      <c r="T243" s="7" t="str" cm="1">
        <f t="array" ref="T243">_xlfn.IFS(Q242&gt;=8,"Excellent",Q242&gt;=6,"Good",Q242&gt;=4,"Average",TRUE,"Poor")</f>
        <v>Average</v>
      </c>
      <c r="U243" s="9">
        <f t="shared" si="11"/>
        <v>7.2974385360023535E-4</v>
      </c>
      <c r="V243" s="7" t="str" cm="1">
        <f t="array" ref="V243">_xlfn.IFS(HOUR(L242)&lt;12,"Morning",HOUR(L242)&lt;17,"Afternoon",HOUR(L242)&lt;21,"Evening",TRUE,"Night")</f>
        <v>Afternoon</v>
      </c>
    </row>
    <row r="244" spans="1:22" x14ac:dyDescent="0.3">
      <c r="A244" t="s">
        <v>331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  <c r="R244" s="5" t="str">
        <f t="shared" si="9"/>
        <v>Low Sale</v>
      </c>
      <c r="S244" s="7">
        <f t="shared" si="10"/>
        <v>4.7619047619047628</v>
      </c>
      <c r="T244" s="7" t="str" cm="1">
        <f t="array" ref="T244">_xlfn.IFS(Q243&gt;=8,"Excellent",Q243&gt;=6,"Good",Q243&gt;=4,"Average",TRUE,"Poor")</f>
        <v>Average</v>
      </c>
      <c r="U244" s="9">
        <f t="shared" si="11"/>
        <v>3.886375312277115E-4</v>
      </c>
      <c r="V244" s="7" t="str" cm="1">
        <f t="array" ref="V244">_xlfn.IFS(HOUR(L243)&lt;12,"Morning",HOUR(L243)&lt;17,"Afternoon",HOUR(L243)&lt;21,"Evening",TRUE,"Night")</f>
        <v>Afternoon</v>
      </c>
    </row>
    <row r="245" spans="1:22" x14ac:dyDescent="0.3">
      <c r="A245" t="s">
        <v>332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  <c r="R245" s="5" t="str">
        <f t="shared" si="9"/>
        <v>Low Sale</v>
      </c>
      <c r="S245" s="7">
        <f t="shared" si="10"/>
        <v>4.7619047619047628</v>
      </c>
      <c r="T245" s="7" t="str" cm="1">
        <f t="array" ref="T245">_xlfn.IFS(Q244&gt;=8,"Excellent",Q244&gt;=6,"Good",Q244&gt;=4,"Average",TRUE,"Poor")</f>
        <v>Good</v>
      </c>
      <c r="U245" s="9">
        <f t="shared" si="11"/>
        <v>6.0600665736025962E-4</v>
      </c>
      <c r="V245" s="7" t="str" cm="1">
        <f t="array" ref="V245">_xlfn.IFS(HOUR(L244)&lt;12,"Morning",HOUR(L244)&lt;17,"Afternoon",HOUR(L244)&lt;21,"Evening",TRUE,"Night")</f>
        <v>Evening</v>
      </c>
    </row>
    <row r="246" spans="1:22" x14ac:dyDescent="0.3">
      <c r="A246" t="s">
        <v>333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5" t="str">
        <f t="shared" si="9"/>
        <v>Low Sale</v>
      </c>
      <c r="S246" s="7">
        <f t="shared" si="10"/>
        <v>4.7619047619047619</v>
      </c>
      <c r="T246" s="7" t="str" cm="1">
        <f t="array" ref="T246">_xlfn.IFS(Q245&gt;=8,"Excellent",Q245&gt;=6,"Good",Q245&gt;=4,"Average",TRUE,"Poor")</f>
        <v>Average</v>
      </c>
      <c r="U246" s="9">
        <f t="shared" si="11"/>
        <v>8.1472783441245201E-4</v>
      </c>
      <c r="V246" s="7" t="str" cm="1">
        <f t="array" ref="V246">_xlfn.IFS(HOUR(L245)&lt;12,"Morning",HOUR(L245)&lt;17,"Afternoon",HOUR(L245)&lt;21,"Evening",TRUE,"Night")</f>
        <v>Morning</v>
      </c>
    </row>
    <row r="247" spans="1:22" x14ac:dyDescent="0.3">
      <c r="A247" t="s">
        <v>334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  <c r="R247" s="5" t="str">
        <f t="shared" si="9"/>
        <v>Medium Sale</v>
      </c>
      <c r="S247" s="7">
        <f t="shared" si="10"/>
        <v>4.7619047619047619</v>
      </c>
      <c r="T247" s="7" t="str" cm="1">
        <f t="array" ref="T247">_xlfn.IFS(Q246&gt;=8,"Excellent",Q246&gt;=6,"Good",Q246&gt;=4,"Average",TRUE,"Poor")</f>
        <v>Excellent</v>
      </c>
      <c r="U247" s="9">
        <f t="shared" si="11"/>
        <v>2.4414525719488227E-3</v>
      </c>
      <c r="V247" s="7" t="str" cm="1">
        <f t="array" ref="V247">_xlfn.IFS(HOUR(L246)&lt;12,"Morning",HOUR(L246)&lt;17,"Afternoon",HOUR(L246)&lt;21,"Evening",TRUE,"Night")</f>
        <v>Evening</v>
      </c>
    </row>
    <row r="248" spans="1:22" x14ac:dyDescent="0.3">
      <c r="A248" t="s">
        <v>335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  <c r="R248" s="5" t="str">
        <f t="shared" si="9"/>
        <v>Low Sale</v>
      </c>
      <c r="S248" s="7">
        <f t="shared" si="10"/>
        <v>4.7619047619047628</v>
      </c>
      <c r="T248" s="7" t="str" cm="1">
        <f t="array" ref="T248">_xlfn.IFS(Q247&gt;=8,"Excellent",Q247&gt;=6,"Good",Q247&gt;=4,"Average",TRUE,"Poor")</f>
        <v>Average</v>
      </c>
      <c r="U248" s="9">
        <f t="shared" si="11"/>
        <v>1.2377620954409764E-3</v>
      </c>
      <c r="V248" s="7" t="str" cm="1">
        <f t="array" ref="V248">_xlfn.IFS(HOUR(L247)&lt;12,"Morning",HOUR(L247)&lt;17,"Afternoon",HOUR(L247)&lt;21,"Evening",TRUE,"Night")</f>
        <v>Afternoon</v>
      </c>
    </row>
    <row r="249" spans="1:22" x14ac:dyDescent="0.3">
      <c r="A249" t="s">
        <v>336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  <c r="R249" s="5" t="str">
        <f t="shared" si="9"/>
        <v>Low Sale</v>
      </c>
      <c r="S249" s="7">
        <f t="shared" si="10"/>
        <v>4.7619047619047619</v>
      </c>
      <c r="T249" s="7" t="str" cm="1">
        <f t="array" ref="T249">_xlfn.IFS(Q248&gt;=8,"Excellent",Q248&gt;=6,"Good",Q248&gt;=4,"Average",TRUE,"Poor")</f>
        <v>Average</v>
      </c>
      <c r="U249" s="9">
        <f t="shared" si="11"/>
        <v>7.9392073888076933E-4</v>
      </c>
      <c r="V249" s="7" t="str" cm="1">
        <f t="array" ref="V249">_xlfn.IFS(HOUR(L248)&lt;12,"Morning",HOUR(L248)&lt;17,"Afternoon",HOUR(L248)&lt;21,"Evening",TRUE,"Night")</f>
        <v>Evening</v>
      </c>
    </row>
    <row r="250" spans="1:22" x14ac:dyDescent="0.3">
      <c r="A250" t="s">
        <v>337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  <c r="R250" s="5" t="str">
        <f t="shared" si="9"/>
        <v>Low Sale</v>
      </c>
      <c r="S250" s="7">
        <f t="shared" si="10"/>
        <v>4.7619047619047628</v>
      </c>
      <c r="T250" s="7" t="str" cm="1">
        <f t="array" ref="T250">_xlfn.IFS(Q249&gt;=8,"Excellent",Q249&gt;=6,"Good",Q249&gt;=4,"Average",TRUE,"Poor")</f>
        <v>Good</v>
      </c>
      <c r="U250" s="9">
        <f t="shared" si="11"/>
        <v>2.9162444831124082E-4</v>
      </c>
      <c r="V250" s="7" t="str" cm="1">
        <f t="array" ref="V250">_xlfn.IFS(HOUR(L249)&lt;12,"Morning",HOUR(L249)&lt;17,"Afternoon",HOUR(L249)&lt;21,"Evening",TRUE,"Night")</f>
        <v>Afternoon</v>
      </c>
    </row>
    <row r="251" spans="1:22" x14ac:dyDescent="0.3">
      <c r="A251" t="s">
        <v>338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286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  <c r="R251" s="5" t="str">
        <f t="shared" si="9"/>
        <v>Low Sale</v>
      </c>
      <c r="S251" s="7">
        <f t="shared" si="10"/>
        <v>4.7619047619047628</v>
      </c>
      <c r="T251" s="7" t="str" cm="1">
        <f t="array" ref="T251">_xlfn.IFS(Q250&gt;=8,"Excellent",Q250&gt;=6,"Good",Q250&gt;=4,"Average",TRUE,"Poor")</f>
        <v>Excellent</v>
      </c>
      <c r="U251" s="9">
        <f t="shared" si="11"/>
        <v>1.0107046654514887E-3</v>
      </c>
      <c r="V251" s="7" t="str" cm="1">
        <f t="array" ref="V251">_xlfn.IFS(HOUR(L250)&lt;12,"Morning",HOUR(L250)&lt;17,"Afternoon",HOUR(L250)&lt;21,"Evening",TRUE,"Night")</f>
        <v>Afternoon</v>
      </c>
    </row>
    <row r="252" spans="1:22" x14ac:dyDescent="0.3">
      <c r="A252" t="s">
        <v>339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  <c r="R252" s="5" t="str">
        <f t="shared" si="9"/>
        <v>Medium Sale</v>
      </c>
      <c r="S252" s="7">
        <f t="shared" si="10"/>
        <v>4.7619047619047628</v>
      </c>
      <c r="T252" s="7" t="str" cm="1">
        <f t="array" ref="T252">_xlfn.IFS(Q251&gt;=8,"Excellent",Q251&gt;=6,"Good",Q251&gt;=4,"Average",TRUE,"Poor")</f>
        <v>Average</v>
      </c>
      <c r="U252" s="9">
        <f t="shared" si="11"/>
        <v>1.6626819995020597E-3</v>
      </c>
      <c r="V252" s="7" t="str" cm="1">
        <f t="array" ref="V252">_xlfn.IFS(HOUR(L251)&lt;12,"Morning",HOUR(L251)&lt;17,"Afternoon",HOUR(L251)&lt;21,"Evening",TRUE,"Night")</f>
        <v>Evening</v>
      </c>
    </row>
    <row r="253" spans="1:22" x14ac:dyDescent="0.3">
      <c r="A253" t="s">
        <v>340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  <c r="R253" s="5" t="str">
        <f t="shared" si="9"/>
        <v>Low Sale</v>
      </c>
      <c r="S253" s="7">
        <f t="shared" si="10"/>
        <v>4.7619047619047628</v>
      </c>
      <c r="T253" s="7" t="str" cm="1">
        <f t="array" ref="T253">_xlfn.IFS(Q252&gt;=8,"Excellent",Q252&gt;=6,"Good",Q252&gt;=4,"Average",TRUE,"Poor")</f>
        <v>Good</v>
      </c>
      <c r="U253" s="9">
        <f t="shared" si="11"/>
        <v>1.3620519801560125E-3</v>
      </c>
      <c r="V253" s="7" t="str" cm="1">
        <f t="array" ref="V253">_xlfn.IFS(HOUR(L252)&lt;12,"Morning",HOUR(L252)&lt;17,"Afternoon",HOUR(L252)&lt;21,"Evening",TRUE,"Night")</f>
        <v>Afternoon</v>
      </c>
    </row>
    <row r="254" spans="1:22" x14ac:dyDescent="0.3">
      <c r="A254" t="s">
        <v>342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  <c r="R254" s="5" t="str">
        <f t="shared" si="9"/>
        <v>Low Sale</v>
      </c>
      <c r="S254" s="7">
        <f t="shared" si="10"/>
        <v>4.7619047619047619</v>
      </c>
      <c r="T254" s="7" t="str" cm="1">
        <f t="array" ref="T254">_xlfn.IFS(Q253&gt;=8,"Excellent",Q253&gt;=6,"Good",Q253&gt;=4,"Average",TRUE,"Poor")</f>
        <v>Excellent</v>
      </c>
      <c r="U254" s="9">
        <f t="shared" si="11"/>
        <v>1.1440651433748678E-3</v>
      </c>
      <c r="V254" s="7" t="str" cm="1">
        <f t="array" ref="V254">_xlfn.IFS(HOUR(L253)&lt;12,"Morning",HOUR(L253)&lt;17,"Afternoon",HOUR(L253)&lt;21,"Evening",TRUE,"Night")</f>
        <v>Evening</v>
      </c>
    </row>
    <row r="255" spans="1:22" x14ac:dyDescent="0.3">
      <c r="A255" t="s">
        <v>343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  <c r="R255" s="5" t="str">
        <f t="shared" si="9"/>
        <v>Low Sale</v>
      </c>
      <c r="S255" s="7">
        <f t="shared" si="10"/>
        <v>4.7619047619047619</v>
      </c>
      <c r="T255" s="7" t="str" cm="1">
        <f t="array" ref="T255">_xlfn.IFS(Q254&gt;=8,"Excellent",Q254&gt;=6,"Good",Q254&gt;=4,"Average",TRUE,"Poor")</f>
        <v>Good</v>
      </c>
      <c r="U255" s="9">
        <f t="shared" si="11"/>
        <v>9.3566907719035792E-5</v>
      </c>
      <c r="V255" s="7" t="str" cm="1">
        <f t="array" ref="V255">_xlfn.IFS(HOUR(L254)&lt;12,"Morning",HOUR(L254)&lt;17,"Afternoon",HOUR(L254)&lt;21,"Evening",TRUE,"Night")</f>
        <v>Evening</v>
      </c>
    </row>
    <row r="256" spans="1:22" x14ac:dyDescent="0.3">
      <c r="A256" t="s">
        <v>344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  <c r="R256" s="5" t="str">
        <f t="shared" si="9"/>
        <v>Low Sale</v>
      </c>
      <c r="S256" s="7">
        <f t="shared" si="10"/>
        <v>4.7619047619047619</v>
      </c>
      <c r="T256" s="7" t="str" cm="1">
        <f t="array" ref="T256">_xlfn.IFS(Q255&gt;=8,"Excellent",Q255&gt;=6,"Good",Q255&gt;=4,"Average",TRUE,"Poor")</f>
        <v>Average</v>
      </c>
      <c r="U256" s="9">
        <f t="shared" si="11"/>
        <v>3.0885532429841556E-4</v>
      </c>
      <c r="V256" s="7" t="str" cm="1">
        <f t="array" ref="V256">_xlfn.IFS(HOUR(L255)&lt;12,"Morning",HOUR(L255)&lt;17,"Afternoon",HOUR(L255)&lt;21,"Evening",TRUE,"Night")</f>
        <v>Morning</v>
      </c>
    </row>
    <row r="257" spans="1:22" x14ac:dyDescent="0.3">
      <c r="A257" t="s">
        <v>345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  <c r="R257" s="5" t="str">
        <f t="shared" si="9"/>
        <v>Low Sale</v>
      </c>
      <c r="S257" s="7">
        <f t="shared" si="10"/>
        <v>4.7619047619047619</v>
      </c>
      <c r="T257" s="7" t="str" cm="1">
        <f t="array" ref="T257">_xlfn.IFS(Q256&gt;=8,"Excellent",Q256&gt;=6,"Good",Q256&gt;=4,"Average",TRUE,"Poor")</f>
        <v>Excellent</v>
      </c>
      <c r="U257" s="9">
        <f t="shared" si="11"/>
        <v>1.5319224085201411E-3</v>
      </c>
      <c r="V257" s="7" t="str" cm="1">
        <f t="array" ref="V257">_xlfn.IFS(HOUR(L256)&lt;12,"Morning",HOUR(L256)&lt;17,"Afternoon",HOUR(L256)&lt;21,"Evening",TRUE,"Night")</f>
        <v>Morning</v>
      </c>
    </row>
    <row r="258" spans="1:22" x14ac:dyDescent="0.3">
      <c r="A258" t="s">
        <v>346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308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5" t="str">
        <f t="shared" si="9"/>
        <v>Low Sale</v>
      </c>
      <c r="S258" s="7">
        <f t="shared" si="10"/>
        <v>4.7619047619047628</v>
      </c>
      <c r="T258" s="7" t="str" cm="1">
        <f t="array" ref="T258">_xlfn.IFS(Q257&gt;=8,"Excellent",Q257&gt;=6,"Good",Q257&gt;=4,"Average",TRUE,"Poor")</f>
        <v>Excellent</v>
      </c>
      <c r="U258" s="9">
        <f t="shared" si="11"/>
        <v>4.2420466015218169E-4</v>
      </c>
      <c r="V258" s="7" t="str" cm="1">
        <f t="array" ref="V258">_xlfn.IFS(HOUR(L257)&lt;12,"Morning",HOUR(L257)&lt;17,"Afternoon",HOUR(L257)&lt;21,"Evening",TRUE,"Night")</f>
        <v>Afternoon</v>
      </c>
    </row>
    <row r="259" spans="1:22" x14ac:dyDescent="0.3">
      <c r="A259" t="s">
        <v>347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5" t="str">
        <f t="shared" si="9"/>
        <v>Low Sale</v>
      </c>
      <c r="S259" s="7">
        <f t="shared" si="10"/>
        <v>4.7619047619047619</v>
      </c>
      <c r="T259" s="7" t="str" cm="1">
        <f t="array" ref="T259">_xlfn.IFS(Q258&gt;=8,"Excellent",Q258&gt;=6,"Good",Q258&gt;=4,"Average",TRUE,"Poor")</f>
        <v>Excellent</v>
      </c>
      <c r="U259" s="9">
        <f t="shared" si="11"/>
        <v>2.1571106070736708E-4</v>
      </c>
      <c r="V259" s="7" t="str" cm="1">
        <f t="array" ref="V259">_xlfn.IFS(HOUR(L258)&lt;12,"Morning",HOUR(L258)&lt;17,"Afternoon",HOUR(L258)&lt;21,"Evening",TRUE,"Night")</f>
        <v>Morning</v>
      </c>
    </row>
    <row r="260" spans="1:22" x14ac:dyDescent="0.3">
      <c r="A260" t="s">
        <v>348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260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  <c r="R260" s="5" t="str">
        <f t="shared" ref="R260:R323" si="12">IF(J259&gt;=1000,"High Sale",IF(J259&gt;=500,"Medium Sale","Low Sale"))</f>
        <v>Low Sale</v>
      </c>
      <c r="S260" s="7">
        <f t="shared" ref="S260:S323" si="13">(P259/J259)*100</f>
        <v>4.7619047619047619</v>
      </c>
      <c r="T260" s="7" t="str" cm="1">
        <f t="array" ref="T260">_xlfn.IFS(Q259&gt;=8,"Excellent",Q259&gt;=6,"Good",Q259&gt;=4,"Average",TRUE,"Poor")</f>
        <v>Excellent</v>
      </c>
      <c r="U260" s="9">
        <f t="shared" ref="U260:U323" si="14">J259/SUM($J$2:$J$1001)</f>
        <v>5.0541735489928084E-4</v>
      </c>
      <c r="V260" s="7" t="str" cm="1">
        <f t="array" ref="V260">_xlfn.IFS(HOUR(L259)&lt;12,"Morning",HOUR(L259)&lt;17,"Afternoon",HOUR(L259)&lt;21,"Evening",TRUE,"Night")</f>
        <v>Morning</v>
      </c>
    </row>
    <row r="261" spans="1:22" x14ac:dyDescent="0.3">
      <c r="A261" t="s">
        <v>349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  <c r="R261" s="5" t="str">
        <f t="shared" si="12"/>
        <v>Low Sale</v>
      </c>
      <c r="S261" s="7">
        <f t="shared" si="13"/>
        <v>4.7619047619047628</v>
      </c>
      <c r="T261" s="7" t="str" cm="1">
        <f t="array" ref="T261">_xlfn.IFS(Q260&gt;=8,"Excellent",Q260&gt;=6,"Good",Q260&gt;=4,"Average",TRUE,"Poor")</f>
        <v>Good</v>
      </c>
      <c r="U261" s="9">
        <f t="shared" si="14"/>
        <v>4.1939301931048003E-4</v>
      </c>
      <c r="V261" s="7" t="str" cm="1">
        <f t="array" ref="V261">_xlfn.IFS(HOUR(L260)&lt;12,"Morning",HOUR(L260)&lt;17,"Afternoon",HOUR(L260)&lt;21,"Evening",TRUE,"Night")</f>
        <v>Afternoon</v>
      </c>
    </row>
    <row r="262" spans="1:22" x14ac:dyDescent="0.3">
      <c r="A262" t="s">
        <v>350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  <c r="R262" s="5" t="str">
        <f t="shared" si="12"/>
        <v>Low Sale</v>
      </c>
      <c r="S262" s="7">
        <f t="shared" si="13"/>
        <v>4.7619047619047628</v>
      </c>
      <c r="T262" s="7" t="str" cm="1">
        <f t="array" ref="T262">_xlfn.IFS(Q261&gt;=8,"Excellent",Q261&gt;=6,"Good",Q261&gt;=4,"Average",TRUE,"Poor")</f>
        <v>Good</v>
      </c>
      <c r="U262" s="9">
        <f t="shared" si="14"/>
        <v>8.5751242459947456E-4</v>
      </c>
      <c r="V262" s="7" t="str" cm="1">
        <f t="array" ref="V262">_xlfn.IFS(HOUR(L261)&lt;12,"Morning",HOUR(L261)&lt;17,"Afternoon",HOUR(L261)&lt;21,"Evening",TRUE,"Night")</f>
        <v>Afternoon</v>
      </c>
    </row>
    <row r="263" spans="1:22" x14ac:dyDescent="0.3">
      <c r="A263" t="s">
        <v>351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  <c r="R263" s="5" t="str">
        <f t="shared" si="12"/>
        <v>Medium Sale</v>
      </c>
      <c r="S263" s="7">
        <f t="shared" si="13"/>
        <v>4.7619047619047628</v>
      </c>
      <c r="T263" s="7" t="str" cm="1">
        <f t="array" ref="T263">_xlfn.IFS(Q262&gt;=8,"Excellent",Q262&gt;=6,"Good",Q262&gt;=4,"Average",TRUE,"Poor")</f>
        <v>Good</v>
      </c>
      <c r="U263" s="9">
        <f t="shared" si="14"/>
        <v>2.1962539555426489E-3</v>
      </c>
      <c r="V263" s="7" t="str" cm="1">
        <f t="array" ref="V263">_xlfn.IFS(HOUR(L262)&lt;12,"Morning",HOUR(L262)&lt;17,"Afternoon",HOUR(L262)&lt;21,"Evening",TRUE,"Night")</f>
        <v>Afternoon</v>
      </c>
    </row>
    <row r="264" spans="1:22" x14ac:dyDescent="0.3">
      <c r="A264" t="s">
        <v>352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  <c r="R264" s="5" t="str">
        <f t="shared" si="12"/>
        <v>Low Sale</v>
      </c>
      <c r="S264" s="7">
        <f t="shared" si="13"/>
        <v>4.7619047619047619</v>
      </c>
      <c r="T264" s="7" t="str" cm="1">
        <f t="array" ref="T264">_xlfn.IFS(Q263&gt;=8,"Excellent",Q263&gt;=6,"Good",Q263&gt;=4,"Average",TRUE,"Poor")</f>
        <v>Average</v>
      </c>
      <c r="U264" s="9">
        <f t="shared" si="14"/>
        <v>2.1392295093511311E-4</v>
      </c>
      <c r="V264" s="7" t="str" cm="1">
        <f t="array" ref="V264">_xlfn.IFS(HOUR(L263)&lt;12,"Morning",HOUR(L263)&lt;17,"Afternoon",HOUR(L263)&lt;21,"Evening",TRUE,"Night")</f>
        <v>Afternoon</v>
      </c>
    </row>
    <row r="265" spans="1:22" x14ac:dyDescent="0.3">
      <c r="A265" t="s">
        <v>353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  <c r="R265" s="5" t="str">
        <f t="shared" si="12"/>
        <v>Low Sale</v>
      </c>
      <c r="S265" s="7">
        <f t="shared" si="13"/>
        <v>4.7619047619047619</v>
      </c>
      <c r="T265" s="7" t="str" cm="1">
        <f t="array" ref="T265">_xlfn.IFS(Q264&gt;=8,"Excellent",Q264&gt;=6,"Good",Q264&gt;=4,"Average",TRUE,"Poor")</f>
        <v>Average</v>
      </c>
      <c r="U265" s="9">
        <f t="shared" si="14"/>
        <v>4.9806984928965549E-4</v>
      </c>
      <c r="V265" s="7" t="str" cm="1">
        <f t="array" ref="V265">_xlfn.IFS(HOUR(L264)&lt;12,"Morning",HOUR(L264)&lt;17,"Afternoon",HOUR(L264)&lt;21,"Evening",TRUE,"Night")</f>
        <v>Evening</v>
      </c>
    </row>
    <row r="266" spans="1:22" x14ac:dyDescent="0.3">
      <c r="A266" t="s">
        <v>354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317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  <c r="R266" s="5" t="str">
        <f t="shared" si="12"/>
        <v>Low Sale</v>
      </c>
      <c r="S266" s="7">
        <f t="shared" si="13"/>
        <v>4.7619047619047619</v>
      </c>
      <c r="T266" s="7" t="str" cm="1">
        <f t="array" ref="T266">_xlfn.IFS(Q265&gt;=8,"Excellent",Q265&gt;=6,"Good",Q265&gt;=4,"Average",TRUE,"Poor")</f>
        <v>Average</v>
      </c>
      <c r="U266" s="9">
        <f t="shared" si="14"/>
        <v>7.2304656972597503E-4</v>
      </c>
      <c r="V266" s="7" t="str" cm="1">
        <f t="array" ref="V266">_xlfn.IFS(HOUR(L265)&lt;12,"Morning",HOUR(L265)&lt;17,"Afternoon",HOUR(L265)&lt;21,"Evening",TRUE,"Night")</f>
        <v>Morning</v>
      </c>
    </row>
    <row r="267" spans="1:22" x14ac:dyDescent="0.3">
      <c r="A267" t="s">
        <v>355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  <c r="R267" s="5" t="str">
        <f t="shared" si="12"/>
        <v>Low Sale</v>
      </c>
      <c r="S267" s="7">
        <f t="shared" si="13"/>
        <v>4.7619047619047628</v>
      </c>
      <c r="T267" s="7" t="str" cm="1">
        <f t="array" ref="T267">_xlfn.IFS(Q266&gt;=8,"Excellent",Q266&gt;=6,"Good",Q266&gt;=4,"Average",TRUE,"Poor")</f>
        <v>Good</v>
      </c>
      <c r="U267" s="9">
        <f t="shared" si="14"/>
        <v>1.7702286745314449E-4</v>
      </c>
      <c r="V267" s="7" t="str" cm="1">
        <f t="array" ref="V267">_xlfn.IFS(HOUR(L266)&lt;12,"Morning",HOUR(L266)&lt;17,"Afternoon",HOUR(L266)&lt;21,"Evening",TRUE,"Night")</f>
        <v>Evening</v>
      </c>
    </row>
    <row r="268" spans="1:22" x14ac:dyDescent="0.3">
      <c r="A268" t="s">
        <v>356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357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  <c r="R268" s="5" t="str">
        <f t="shared" si="12"/>
        <v>Medium Sale</v>
      </c>
      <c r="S268" s="7">
        <f t="shared" si="13"/>
        <v>4.7619047619047619</v>
      </c>
      <c r="T268" s="7" t="str" cm="1">
        <f t="array" ref="T268">_xlfn.IFS(Q267&gt;=8,"Excellent",Q267&gt;=6,"Good",Q267&gt;=4,"Average",TRUE,"Poor")</f>
        <v>Excellent</v>
      </c>
      <c r="U268" s="9">
        <f t="shared" si="14"/>
        <v>2.239363656597354E-3</v>
      </c>
      <c r="V268" s="7" t="str" cm="1">
        <f t="array" ref="V268">_xlfn.IFS(HOUR(L267)&lt;12,"Morning",HOUR(L267)&lt;17,"Afternoon",HOUR(L267)&lt;21,"Evening",TRUE,"Night")</f>
        <v>Afternoon</v>
      </c>
    </row>
    <row r="269" spans="1:22" x14ac:dyDescent="0.3">
      <c r="A269" t="s">
        <v>358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  <c r="R269" s="5" t="str">
        <f t="shared" si="12"/>
        <v>Low Sale</v>
      </c>
      <c r="S269" s="7">
        <f t="shared" si="13"/>
        <v>4.7619047619047628</v>
      </c>
      <c r="T269" s="7" t="str" cm="1">
        <f t="array" ref="T269">_xlfn.IFS(Q268&gt;=8,"Excellent",Q268&gt;=6,"Good",Q268&gt;=4,"Average",TRUE,"Poor")</f>
        <v>Good</v>
      </c>
      <c r="U269" s="9">
        <f t="shared" si="14"/>
        <v>4.6126729906799152E-4</v>
      </c>
      <c r="V269" s="7" t="str" cm="1">
        <f t="array" ref="V269">_xlfn.IFS(HOUR(L268)&lt;12,"Morning",HOUR(L268)&lt;17,"Afternoon",HOUR(L268)&lt;21,"Evening",TRUE,"Night")</f>
        <v>Evening</v>
      </c>
    </row>
    <row r="270" spans="1:22" x14ac:dyDescent="0.3">
      <c r="A270" t="s">
        <v>359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5" t="str">
        <f t="shared" si="12"/>
        <v>Medium Sale</v>
      </c>
      <c r="S270" s="7">
        <f t="shared" si="13"/>
        <v>4.7619047619047619</v>
      </c>
      <c r="T270" s="7" t="str" cm="1">
        <f t="array" ref="T270">_xlfn.IFS(Q269&gt;=8,"Excellent",Q269&gt;=6,"Good",Q269&gt;=4,"Average",TRUE,"Poor")</f>
        <v>Excellent</v>
      </c>
      <c r="U270" s="9">
        <f t="shared" si="14"/>
        <v>2.4253270729117683E-3</v>
      </c>
      <c r="V270" s="7" t="str" cm="1">
        <f t="array" ref="V270">_xlfn.IFS(HOUR(L269)&lt;12,"Morning",HOUR(L269)&lt;17,"Afternoon",HOUR(L269)&lt;21,"Evening",TRUE,"Night")</f>
        <v>Evening</v>
      </c>
    </row>
    <row r="271" spans="1:22" x14ac:dyDescent="0.3">
      <c r="A271" t="s">
        <v>360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  <c r="R271" s="5" t="str">
        <f t="shared" si="12"/>
        <v>Low Sale</v>
      </c>
      <c r="S271" s="7">
        <f t="shared" si="13"/>
        <v>4.7619047619047619</v>
      </c>
      <c r="T271" s="7" t="str" cm="1">
        <f t="array" ref="T271">_xlfn.IFS(Q270&gt;=8,"Excellent",Q270&gt;=6,"Good",Q270&gt;=4,"Average",TRUE,"Poor")</f>
        <v>Average</v>
      </c>
      <c r="U271" s="9">
        <f t="shared" si="14"/>
        <v>9.1993371119452282E-4</v>
      </c>
      <c r="V271" s="7" t="str" cm="1">
        <f t="array" ref="V271">_xlfn.IFS(HOUR(L270)&lt;12,"Morning",HOUR(L270)&lt;17,"Afternoon",HOUR(L270)&lt;21,"Evening",TRUE,"Night")</f>
        <v>Afternoon</v>
      </c>
    </row>
    <row r="272" spans="1:22" x14ac:dyDescent="0.3">
      <c r="A272" t="s">
        <v>361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  <c r="R272" s="5" t="str">
        <f t="shared" si="12"/>
        <v>Low Sale</v>
      </c>
      <c r="S272" s="7">
        <f t="shared" si="13"/>
        <v>4.7619047619047619</v>
      </c>
      <c r="T272" s="7" t="str" cm="1">
        <f t="array" ref="T272">_xlfn.IFS(Q271&gt;=8,"Excellent",Q271&gt;=6,"Good",Q271&gt;=4,"Average",TRUE,"Poor")</f>
        <v>Good</v>
      </c>
      <c r="U272" s="9">
        <f t="shared" si="14"/>
        <v>1.1554440237437568E-3</v>
      </c>
      <c r="V272" s="7" t="str" cm="1">
        <f t="array" ref="V272">_xlfn.IFS(HOUR(L271)&lt;12,"Morning",HOUR(L271)&lt;17,"Afternoon",HOUR(L271)&lt;21,"Evening",TRUE,"Night")</f>
        <v>Afternoon</v>
      </c>
    </row>
    <row r="273" spans="1:22" x14ac:dyDescent="0.3">
      <c r="A273" t="s">
        <v>362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5" t="str">
        <f t="shared" si="12"/>
        <v>Low Sale</v>
      </c>
      <c r="S273" s="7">
        <f t="shared" si="13"/>
        <v>4.7619047619047628</v>
      </c>
      <c r="T273" s="7" t="str" cm="1">
        <f t="array" ref="T273">_xlfn.IFS(Q272&gt;=8,"Excellent",Q272&gt;=6,"Good",Q272&gt;=4,"Average",TRUE,"Poor")</f>
        <v>Good</v>
      </c>
      <c r="U273" s="9">
        <f t="shared" si="14"/>
        <v>1.0961112903916928E-3</v>
      </c>
      <c r="V273" s="7" t="str" cm="1">
        <f t="array" ref="V273">_xlfn.IFS(HOUR(L272)&lt;12,"Morning",HOUR(L272)&lt;17,"Afternoon",HOUR(L272)&lt;21,"Evening",TRUE,"Night")</f>
        <v>Evening</v>
      </c>
    </row>
    <row r="274" spans="1:22" x14ac:dyDescent="0.3">
      <c r="A274" t="s">
        <v>363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5" t="str">
        <f t="shared" si="12"/>
        <v>Low Sale</v>
      </c>
      <c r="S274" s="7">
        <f t="shared" si="13"/>
        <v>4.7619047619047628</v>
      </c>
      <c r="T274" s="7" t="str" cm="1">
        <f t="array" ref="T274">_xlfn.IFS(Q273&gt;=8,"Excellent",Q273&gt;=6,"Good",Q273&gt;=4,"Average",TRUE,"Poor")</f>
        <v>Excellent</v>
      </c>
      <c r="U274" s="9">
        <f t="shared" si="14"/>
        <v>1.3732683050910602E-4</v>
      </c>
      <c r="V274" s="7" t="str" cm="1">
        <f t="array" ref="V274">_xlfn.IFS(HOUR(L273)&lt;12,"Morning",HOUR(L273)&lt;17,"Afternoon",HOUR(L273)&lt;21,"Evening",TRUE,"Night")</f>
        <v>Evening</v>
      </c>
    </row>
    <row r="275" spans="1:22" x14ac:dyDescent="0.3">
      <c r="A275" t="s">
        <v>364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5" t="str">
        <f t="shared" si="12"/>
        <v>Low Sale</v>
      </c>
      <c r="S275" s="7">
        <f t="shared" si="13"/>
        <v>4.7619047619047619</v>
      </c>
      <c r="T275" s="7" t="str" cm="1">
        <f t="array" ref="T275">_xlfn.IFS(Q274&gt;=8,"Excellent",Q274&gt;=6,"Good",Q274&gt;=4,"Average",TRUE,"Poor")</f>
        <v>Excellent</v>
      </c>
      <c r="U275" s="9">
        <f t="shared" si="14"/>
        <v>6.3025992808937725E-4</v>
      </c>
      <c r="V275" s="7" t="str" cm="1">
        <f t="array" ref="V275">_xlfn.IFS(HOUR(L274)&lt;12,"Morning",HOUR(L274)&lt;17,"Afternoon",HOUR(L274)&lt;21,"Evening",TRUE,"Night")</f>
        <v>Morning</v>
      </c>
    </row>
    <row r="276" spans="1:22" x14ac:dyDescent="0.3">
      <c r="A276" t="s">
        <v>365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317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  <c r="R276" s="5" t="str">
        <f t="shared" si="12"/>
        <v>Low Sale</v>
      </c>
      <c r="S276" s="7">
        <f t="shared" si="13"/>
        <v>4.7619047619047619</v>
      </c>
      <c r="T276" s="7" t="str" cm="1">
        <f t="array" ref="T276">_xlfn.IFS(Q275&gt;=8,"Excellent",Q275&gt;=6,"Good",Q275&gt;=4,"Average",TRUE,"Poor")</f>
        <v>Average</v>
      </c>
      <c r="U276" s="9">
        <f t="shared" si="14"/>
        <v>7.8221674764419777E-5</v>
      </c>
      <c r="V276" s="7" t="str" cm="1">
        <f t="array" ref="V276">_xlfn.IFS(HOUR(L275)&lt;12,"Morning",HOUR(L275)&lt;17,"Afternoon",HOUR(L275)&lt;21,"Evening",TRUE,"Night")</f>
        <v>Afternoon</v>
      </c>
    </row>
    <row r="277" spans="1:22" x14ac:dyDescent="0.3">
      <c r="A277" t="s">
        <v>366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  <c r="R277" s="5" t="str">
        <f t="shared" si="12"/>
        <v>Medium Sale</v>
      </c>
      <c r="S277" s="7">
        <f t="shared" si="13"/>
        <v>4.7619047619047619</v>
      </c>
      <c r="T277" s="7" t="str" cm="1">
        <f t="array" ref="T277">_xlfn.IFS(Q276&gt;=8,"Excellent",Q276&gt;=6,"Good",Q276&gt;=4,"Average",TRUE,"Poor")</f>
        <v>Good</v>
      </c>
      <c r="U277" s="9">
        <f t="shared" si="14"/>
        <v>1.9450082769975798E-3</v>
      </c>
      <c r="V277" s="7" t="str" cm="1">
        <f t="array" ref="V277">_xlfn.IFS(HOUR(L276)&lt;12,"Morning",HOUR(L276)&lt;17,"Afternoon",HOUR(L276)&lt;21,"Evening",TRUE,"Night")</f>
        <v>Afternoon</v>
      </c>
    </row>
    <row r="278" spans="1:22" x14ac:dyDescent="0.3">
      <c r="A278" t="s">
        <v>367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  <c r="R278" s="5" t="str">
        <f t="shared" si="12"/>
        <v>Low Sale</v>
      </c>
      <c r="S278" s="7">
        <f t="shared" si="13"/>
        <v>4.7619047619047628</v>
      </c>
      <c r="T278" s="7" t="str" cm="1">
        <f t="array" ref="T278">_xlfn.IFS(Q277&gt;=8,"Excellent",Q277&gt;=6,"Good",Q277&gt;=4,"Average",TRUE,"Poor")</f>
        <v>Good</v>
      </c>
      <c r="U278" s="9">
        <f t="shared" si="14"/>
        <v>1.09168978259121E-3</v>
      </c>
      <c r="V278" s="7" t="str" cm="1">
        <f t="array" ref="V278">_xlfn.IFS(HOUR(L277)&lt;12,"Morning",HOUR(L277)&lt;17,"Afternoon",HOUR(L277)&lt;21,"Evening",TRUE,"Night")</f>
        <v>Evening</v>
      </c>
    </row>
    <row r="279" spans="1:22" x14ac:dyDescent="0.3">
      <c r="A279" t="s">
        <v>368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  <c r="R279" s="5" t="str">
        <f t="shared" si="12"/>
        <v>Low Sale</v>
      </c>
      <c r="S279" s="7">
        <f t="shared" si="13"/>
        <v>4.7619047619047619</v>
      </c>
      <c r="T279" s="7" t="str" cm="1">
        <f t="array" ref="T279">_xlfn.IFS(Q278&gt;=8,"Excellent",Q278&gt;=6,"Good",Q278&gt;=4,"Average",TRUE,"Poor")</f>
        <v>Good</v>
      </c>
      <c r="U279" s="9">
        <f t="shared" si="14"/>
        <v>7.0939191328330822E-4</v>
      </c>
      <c r="V279" s="7" t="str" cm="1">
        <f t="array" ref="V279">_xlfn.IFS(HOUR(L278)&lt;12,"Morning",HOUR(L278)&lt;17,"Afternoon",HOUR(L278)&lt;21,"Evening",TRUE,"Night")</f>
        <v>Evening</v>
      </c>
    </row>
    <row r="280" spans="1:22" x14ac:dyDescent="0.3">
      <c r="A280" t="s">
        <v>369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298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  <c r="R280" s="5" t="str">
        <f t="shared" si="12"/>
        <v>Low Sale</v>
      </c>
      <c r="S280" s="7">
        <f t="shared" si="13"/>
        <v>4.7619047619047619</v>
      </c>
      <c r="T280" s="7" t="str" cm="1">
        <f t="array" ref="T280">_xlfn.IFS(Q279&gt;=8,"Excellent",Q279&gt;=6,"Good",Q279&gt;=4,"Average",TRUE,"Poor")</f>
        <v>Good</v>
      </c>
      <c r="U280" s="9">
        <f t="shared" si="14"/>
        <v>1.2408831597707289E-3</v>
      </c>
      <c r="V280" s="7" t="str" cm="1">
        <f t="array" ref="V280">_xlfn.IFS(HOUR(L279)&lt;12,"Morning",HOUR(L279)&lt;17,"Afternoon",HOUR(L279)&lt;21,"Evening",TRUE,"Night")</f>
        <v>Afternoon</v>
      </c>
    </row>
    <row r="281" spans="1:22" x14ac:dyDescent="0.3">
      <c r="A281" t="s">
        <v>370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298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  <c r="R281" s="5" t="str">
        <f t="shared" si="12"/>
        <v>Medium Sale</v>
      </c>
      <c r="S281" s="7">
        <f t="shared" si="13"/>
        <v>4.7619047619047619</v>
      </c>
      <c r="T281" s="7" t="str" cm="1">
        <f t="array" ref="T281">_xlfn.IFS(Q280&gt;=8,"Excellent",Q280&gt;=6,"Good",Q280&gt;=4,"Average",TRUE,"Poor")</f>
        <v>Average</v>
      </c>
      <c r="U281" s="9">
        <f t="shared" si="14"/>
        <v>2.3079620496783706E-3</v>
      </c>
      <c r="V281" s="7" t="str" cm="1">
        <f t="array" ref="V281">_xlfn.IFS(HOUR(L280)&lt;12,"Morning",HOUR(L280)&lt;17,"Afternoon",HOUR(L280)&lt;21,"Evening",TRUE,"Night")</f>
        <v>Afternoon</v>
      </c>
    </row>
    <row r="282" spans="1:22" x14ac:dyDescent="0.3">
      <c r="A282" t="s">
        <v>371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  <c r="R282" s="5" t="str">
        <f t="shared" si="12"/>
        <v>Low Sale</v>
      </c>
      <c r="S282" s="7">
        <f t="shared" si="13"/>
        <v>4.7619047619047628</v>
      </c>
      <c r="T282" s="7" t="str" cm="1">
        <f t="array" ref="T282">_xlfn.IFS(Q281&gt;=8,"Excellent",Q281&gt;=6,"Good",Q281&gt;=4,"Average",TRUE,"Poor")</f>
        <v>Excellent</v>
      </c>
      <c r="U282" s="9">
        <f t="shared" si="14"/>
        <v>1.431138039538553E-3</v>
      </c>
      <c r="V282" s="7" t="str" cm="1">
        <f t="array" ref="V282">_xlfn.IFS(HOUR(L281)&lt;12,"Morning",HOUR(L281)&lt;17,"Afternoon",HOUR(L281)&lt;21,"Evening",TRUE,"Night")</f>
        <v>Evening</v>
      </c>
    </row>
    <row r="283" spans="1:22" x14ac:dyDescent="0.3">
      <c r="A283" t="s">
        <v>372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  <c r="R283" s="5" t="str">
        <f t="shared" si="12"/>
        <v>Medium Sale</v>
      </c>
      <c r="S283" s="7">
        <f t="shared" si="13"/>
        <v>4.7619047619047628</v>
      </c>
      <c r="T283" s="7" t="str" cm="1">
        <f t="array" ref="T283">_xlfn.IFS(Q282&gt;=8,"Excellent",Q282&gt;=6,"Good",Q282&gt;=4,"Average",TRUE,"Poor")</f>
        <v>Good</v>
      </c>
      <c r="U283" s="9">
        <f t="shared" si="14"/>
        <v>1.8195805042456549E-3</v>
      </c>
      <c r="V283" s="7" t="str" cm="1">
        <f t="array" ref="V283">_xlfn.IFS(HOUR(L282)&lt;12,"Morning",HOUR(L282)&lt;17,"Afternoon",HOUR(L282)&lt;21,"Evening",TRUE,"Night")</f>
        <v>Evening</v>
      </c>
    </row>
    <row r="284" spans="1:22" x14ac:dyDescent="0.3">
      <c r="A284" t="s">
        <v>373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  <c r="R284" s="5" t="str">
        <f t="shared" si="12"/>
        <v>Low Sale</v>
      </c>
      <c r="S284" s="7">
        <f t="shared" si="13"/>
        <v>4.7619047619047619</v>
      </c>
      <c r="T284" s="7" t="str" cm="1">
        <f t="array" ref="T284">_xlfn.IFS(Q283&gt;=8,"Excellent",Q283&gt;=6,"Good",Q283&gt;=4,"Average",TRUE,"Poor")</f>
        <v>Good</v>
      </c>
      <c r="U284" s="9">
        <f t="shared" si="14"/>
        <v>1.202910210425408E-4</v>
      </c>
      <c r="V284" s="7" t="str" cm="1">
        <f t="array" ref="V284">_xlfn.IFS(HOUR(L283)&lt;12,"Morning",HOUR(L283)&lt;17,"Afternoon",HOUR(L283)&lt;21,"Evening",TRUE,"Night")</f>
        <v>Afternoon</v>
      </c>
    </row>
    <row r="285" spans="1:22" x14ac:dyDescent="0.3">
      <c r="A285" t="s">
        <v>374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  <c r="R285" s="5" t="str">
        <f t="shared" si="12"/>
        <v>Low Sale</v>
      </c>
      <c r="S285" s="7">
        <f t="shared" si="13"/>
        <v>4.7619047619047628</v>
      </c>
      <c r="T285" s="7" t="str" cm="1">
        <f t="array" ref="T285">_xlfn.IFS(Q284&gt;=8,"Excellent",Q284&gt;=6,"Good",Q284&gt;=4,"Average",TRUE,"Poor")</f>
        <v>Good</v>
      </c>
      <c r="U285" s="9">
        <f t="shared" si="14"/>
        <v>4.9872007102502044E-5</v>
      </c>
      <c r="V285" s="7" t="str" cm="1">
        <f t="array" ref="V285">_xlfn.IFS(HOUR(L284)&lt;12,"Morning",HOUR(L284)&lt;17,"Afternoon",HOUR(L284)&lt;21,"Evening",TRUE,"Night")</f>
        <v>Morning</v>
      </c>
    </row>
    <row r="286" spans="1:22" x14ac:dyDescent="0.3">
      <c r="A286" t="s">
        <v>375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  <c r="R286" s="5" t="str">
        <f t="shared" si="12"/>
        <v>Medium Sale</v>
      </c>
      <c r="S286" s="7">
        <f t="shared" si="13"/>
        <v>4.7619047619047628</v>
      </c>
      <c r="T286" s="7" t="str" cm="1">
        <f t="array" ref="T286">_xlfn.IFS(Q285&gt;=8,"Excellent",Q285&gt;=6,"Good",Q285&gt;=4,"Average",TRUE,"Poor")</f>
        <v>Excellent</v>
      </c>
      <c r="U286" s="9">
        <f t="shared" si="14"/>
        <v>1.9473490752448942E-3</v>
      </c>
      <c r="V286" s="7" t="str" cm="1">
        <f t="array" ref="V286">_xlfn.IFS(HOUR(L285)&lt;12,"Morning",HOUR(L285)&lt;17,"Afternoon",HOUR(L285)&lt;21,"Evening",TRUE,"Night")</f>
        <v>Afternoon</v>
      </c>
    </row>
    <row r="287" spans="1:22" x14ac:dyDescent="0.3">
      <c r="A287" t="s">
        <v>376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  <c r="R287" s="5" t="str">
        <f t="shared" si="12"/>
        <v>Low Sale</v>
      </c>
      <c r="S287" s="7">
        <f t="shared" si="13"/>
        <v>4.7619047619047628</v>
      </c>
      <c r="T287" s="7" t="str" cm="1">
        <f t="array" ref="T287">_xlfn.IFS(Q286&gt;=8,"Excellent",Q286&gt;=6,"Good",Q286&gt;=4,"Average",TRUE,"Poor")</f>
        <v>Excellent</v>
      </c>
      <c r="U287" s="9">
        <f t="shared" si="14"/>
        <v>6.199214024970724E-4</v>
      </c>
      <c r="V287" s="7" t="str" cm="1">
        <f t="array" ref="V287">_xlfn.IFS(HOUR(L286)&lt;12,"Morning",HOUR(L286)&lt;17,"Afternoon",HOUR(L286)&lt;21,"Evening",TRUE,"Night")</f>
        <v>Afternoon</v>
      </c>
    </row>
    <row r="288" spans="1:22" x14ac:dyDescent="0.3">
      <c r="A288" t="s">
        <v>377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  <c r="R288" s="5" t="str">
        <f t="shared" si="12"/>
        <v>Low Sale</v>
      </c>
      <c r="S288" s="7">
        <f t="shared" si="13"/>
        <v>4.7619047619047628</v>
      </c>
      <c r="T288" s="7" t="str" cm="1">
        <f t="array" ref="T288">_xlfn.IFS(Q287&gt;=8,"Excellent",Q287&gt;=6,"Good",Q287&gt;=4,"Average",TRUE,"Poor")</f>
        <v>Good</v>
      </c>
      <c r="U288" s="9">
        <f t="shared" si="14"/>
        <v>1.0839196328535972E-3</v>
      </c>
      <c r="V288" s="7" t="str" cm="1">
        <f t="array" ref="V288">_xlfn.IFS(HOUR(L287)&lt;12,"Morning",HOUR(L287)&lt;17,"Afternoon",HOUR(L287)&lt;21,"Evening",TRUE,"Night")</f>
        <v>Evening</v>
      </c>
    </row>
    <row r="289" spans="1:22" x14ac:dyDescent="0.3">
      <c r="A289" t="s">
        <v>378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308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  <c r="R289" s="5" t="str">
        <f t="shared" si="12"/>
        <v>Low Sale</v>
      </c>
      <c r="S289" s="7">
        <f t="shared" si="13"/>
        <v>4.7619047619047628</v>
      </c>
      <c r="T289" s="7" t="str" cm="1">
        <f t="array" ref="T289">_xlfn.IFS(Q288&gt;=8,"Excellent",Q288&gt;=6,"Good",Q288&gt;=4,"Average",TRUE,"Poor")</f>
        <v>Good</v>
      </c>
      <c r="U289" s="9">
        <f t="shared" si="14"/>
        <v>2.4337799554715144E-4</v>
      </c>
      <c r="V289" s="7" t="str" cm="1">
        <f t="array" ref="V289">_xlfn.IFS(HOUR(L288)&lt;12,"Morning",HOUR(L288)&lt;17,"Afternoon",HOUR(L288)&lt;21,"Evening",TRUE,"Night")</f>
        <v>Afternoon</v>
      </c>
    </row>
    <row r="290" spans="1:22" x14ac:dyDescent="0.3">
      <c r="A290" t="s">
        <v>379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  <c r="R290" s="5" t="str">
        <f t="shared" si="12"/>
        <v>Low Sale</v>
      </c>
      <c r="S290" s="7">
        <f t="shared" si="13"/>
        <v>4.7619047619047619</v>
      </c>
      <c r="T290" s="7" t="str" cm="1">
        <f t="array" ref="T290">_xlfn.IFS(Q289&gt;=8,"Excellent",Q289&gt;=6,"Good",Q289&gt;=4,"Average",TRUE,"Poor")</f>
        <v>Excellent</v>
      </c>
      <c r="U290" s="9">
        <f t="shared" si="14"/>
        <v>6.9492447967143503E-4</v>
      </c>
      <c r="V290" s="7" t="str" cm="1">
        <f t="array" ref="V290">_xlfn.IFS(HOUR(L289)&lt;12,"Morning",HOUR(L289)&lt;17,"Afternoon",HOUR(L289)&lt;21,"Evening",TRUE,"Night")</f>
        <v>Afternoon</v>
      </c>
    </row>
    <row r="291" spans="1:22" x14ac:dyDescent="0.3">
      <c r="A291" t="s">
        <v>380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  <c r="R291" s="5" t="str">
        <f t="shared" si="12"/>
        <v>Low Sale</v>
      </c>
      <c r="S291" s="7">
        <f t="shared" si="13"/>
        <v>4.7619047619047628</v>
      </c>
      <c r="T291" s="7" t="str" cm="1">
        <f t="array" ref="T291">_xlfn.IFS(Q290&gt;=8,"Excellent",Q290&gt;=6,"Good",Q290&gt;=4,"Average",TRUE,"Poor")</f>
        <v>Average</v>
      </c>
      <c r="U291" s="9">
        <f t="shared" si="14"/>
        <v>1.1039789733896103E-3</v>
      </c>
      <c r="V291" s="7" t="str" cm="1">
        <f t="array" ref="V291">_xlfn.IFS(HOUR(L290)&lt;12,"Morning",HOUR(L290)&lt;17,"Afternoon",HOUR(L290)&lt;21,"Evening",TRUE,"Night")</f>
        <v>Afternoon</v>
      </c>
    </row>
    <row r="292" spans="1:22" x14ac:dyDescent="0.3">
      <c r="A292" t="s">
        <v>381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  <c r="R292" s="5" t="str">
        <f t="shared" si="12"/>
        <v>Medium Sale</v>
      </c>
      <c r="S292" s="7">
        <f t="shared" si="13"/>
        <v>4.7619047619047619</v>
      </c>
      <c r="T292" s="7" t="str" cm="1">
        <f t="array" ref="T292">_xlfn.IFS(Q291&gt;=8,"Excellent",Q291&gt;=6,"Good",Q291&gt;=4,"Average",TRUE,"Poor")</f>
        <v>Average</v>
      </c>
      <c r="U292" s="9">
        <f t="shared" si="14"/>
        <v>2.1592563388003758E-3</v>
      </c>
      <c r="V292" s="7" t="str" cm="1">
        <f t="array" ref="V292">_xlfn.IFS(HOUR(L291)&lt;12,"Morning",HOUR(L291)&lt;17,"Afternoon",HOUR(L291)&lt;21,"Evening",TRUE,"Night")</f>
        <v>Afternoon</v>
      </c>
    </row>
    <row r="293" spans="1:22" x14ac:dyDescent="0.3">
      <c r="A293" t="s">
        <v>382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357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  <c r="R293" s="5" t="str">
        <f t="shared" si="12"/>
        <v>Low Sale</v>
      </c>
      <c r="S293" s="7">
        <f t="shared" si="13"/>
        <v>4.7619047619047619</v>
      </c>
      <c r="T293" s="7" t="str" cm="1">
        <f t="array" ref="T293">_xlfn.IFS(Q292&gt;=8,"Excellent",Q292&gt;=6,"Good",Q292&gt;=4,"Average",TRUE,"Poor")</f>
        <v>Good</v>
      </c>
      <c r="U293" s="9">
        <f t="shared" si="14"/>
        <v>1.3101967967606471E-3</v>
      </c>
      <c r="V293" s="7" t="str" cm="1">
        <f t="array" ref="V293">_xlfn.IFS(HOUR(L292)&lt;12,"Morning",HOUR(L292)&lt;17,"Afternoon",HOUR(L292)&lt;21,"Evening",TRUE,"Night")</f>
        <v>Evening</v>
      </c>
    </row>
    <row r="294" spans="1:22" x14ac:dyDescent="0.3">
      <c r="A294" t="s">
        <v>383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  <c r="R294" s="5" t="str">
        <f t="shared" si="12"/>
        <v>Low Sale</v>
      </c>
      <c r="S294" s="7">
        <f t="shared" si="13"/>
        <v>4.7619047619047628</v>
      </c>
      <c r="T294" s="7" t="str" cm="1">
        <f t="array" ref="T294">_xlfn.IFS(Q293&gt;=8,"Excellent",Q293&gt;=6,"Good",Q293&gt;=4,"Average",TRUE,"Poor")</f>
        <v>Good</v>
      </c>
      <c r="U294" s="9">
        <f t="shared" si="14"/>
        <v>6.3380363654711694E-4</v>
      </c>
      <c r="V294" s="7" t="str" cm="1">
        <f t="array" ref="V294">_xlfn.IFS(HOUR(L293)&lt;12,"Morning",HOUR(L293)&lt;17,"Afternoon",HOUR(L293)&lt;21,"Evening",TRUE,"Night")</f>
        <v>Evening</v>
      </c>
    </row>
    <row r="295" spans="1:22" x14ac:dyDescent="0.3">
      <c r="A295" t="s">
        <v>384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  <c r="R295" s="5" t="str">
        <f t="shared" si="12"/>
        <v>Low Sale</v>
      </c>
      <c r="S295" s="7">
        <f t="shared" si="13"/>
        <v>4.7619047619047628</v>
      </c>
      <c r="T295" s="7" t="str" cm="1">
        <f t="array" ref="T295">_xlfn.IFS(Q294&gt;=8,"Excellent",Q294&gt;=6,"Good",Q294&gt;=4,"Average",TRUE,"Poor")</f>
        <v>Average</v>
      </c>
      <c r="U295" s="9">
        <f t="shared" si="14"/>
        <v>2.0312927012805268E-4</v>
      </c>
      <c r="V295" s="7" t="str" cm="1">
        <f t="array" ref="V295">_xlfn.IFS(HOUR(L294)&lt;12,"Morning",HOUR(L294)&lt;17,"Afternoon",HOUR(L294)&lt;21,"Evening",TRUE,"Night")</f>
        <v>Evening</v>
      </c>
    </row>
    <row r="296" spans="1:22" x14ac:dyDescent="0.3">
      <c r="A296" t="s">
        <v>385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  <c r="R296" s="5" t="str">
        <f t="shared" si="12"/>
        <v>Low Sale</v>
      </c>
      <c r="S296" s="7">
        <f t="shared" si="13"/>
        <v>4.7619047619047628</v>
      </c>
      <c r="T296" s="7" t="str" cm="1">
        <f t="array" ref="T296">_xlfn.IFS(Q295&gt;=8,"Excellent",Q295&gt;=6,"Good",Q295&gt;=4,"Average",TRUE,"Poor")</f>
        <v>Good</v>
      </c>
      <c r="U296" s="9">
        <f t="shared" si="14"/>
        <v>2.3642062297874502E-4</v>
      </c>
      <c r="V296" s="7" t="str" cm="1">
        <f t="array" ref="V296">_xlfn.IFS(HOUR(L295)&lt;12,"Morning",HOUR(L295)&lt;17,"Afternoon",HOUR(L295)&lt;21,"Evening",TRUE,"Night")</f>
        <v>Morning</v>
      </c>
    </row>
    <row r="297" spans="1:22" x14ac:dyDescent="0.3">
      <c r="A297" t="s">
        <v>386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  <c r="R297" s="5" t="str">
        <f t="shared" si="12"/>
        <v>Low Sale</v>
      </c>
      <c r="S297" s="7">
        <f t="shared" si="13"/>
        <v>4.7619047619047619</v>
      </c>
      <c r="T297" s="7" t="str" cm="1">
        <f t="array" ref="T297">_xlfn.IFS(Q296&gt;=8,"Excellent",Q296&gt;=6,"Good",Q296&gt;=4,"Average",TRUE,"Poor")</f>
        <v>Average</v>
      </c>
      <c r="U297" s="9">
        <f t="shared" si="14"/>
        <v>5.8877578137308487E-4</v>
      </c>
      <c r="V297" s="7" t="str" cm="1">
        <f t="array" ref="V297">_xlfn.IFS(HOUR(L296)&lt;12,"Morning",HOUR(L296)&lt;17,"Afternoon",HOUR(L296)&lt;21,"Evening",TRUE,"Night")</f>
        <v>Morning</v>
      </c>
    </row>
    <row r="298" spans="1:22" x14ac:dyDescent="0.3">
      <c r="A298" t="s">
        <v>387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  <c r="R298" s="5" t="str">
        <f t="shared" si="12"/>
        <v>Low Sale</v>
      </c>
      <c r="S298" s="7">
        <f t="shared" si="13"/>
        <v>4.7619047619047628</v>
      </c>
      <c r="T298" s="7" t="str" cm="1">
        <f t="array" ref="T298">_xlfn.IFS(Q297&gt;=8,"Excellent",Q297&gt;=6,"Good",Q297&gt;=4,"Average",TRUE,"Poor")</f>
        <v>Good</v>
      </c>
      <c r="U298" s="9">
        <f t="shared" si="14"/>
        <v>8.4398781250388084E-4</v>
      </c>
      <c r="V298" s="7" t="str" cm="1">
        <f t="array" ref="V298">_xlfn.IFS(HOUR(L297)&lt;12,"Morning",HOUR(L297)&lt;17,"Afternoon",HOUR(L297)&lt;21,"Evening",TRUE,"Night")</f>
        <v>Afternoon</v>
      </c>
    </row>
    <row r="299" spans="1:22" x14ac:dyDescent="0.3">
      <c r="A299" t="s">
        <v>388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  <c r="R299" s="5" t="str">
        <f t="shared" si="12"/>
        <v>Low Sale</v>
      </c>
      <c r="S299" s="7">
        <f t="shared" si="13"/>
        <v>4.7619047619047619</v>
      </c>
      <c r="T299" s="7" t="str" cm="1">
        <f t="array" ref="T299">_xlfn.IFS(Q298&gt;=8,"Excellent",Q298&gt;=6,"Good",Q298&gt;=4,"Average",TRUE,"Poor")</f>
        <v>Good</v>
      </c>
      <c r="U299" s="9">
        <f t="shared" si="14"/>
        <v>3.7504789695858124E-4</v>
      </c>
      <c r="V299" s="7" t="str" cm="1">
        <f t="array" ref="V299">_xlfn.IFS(HOUR(L298)&lt;12,"Morning",HOUR(L298)&lt;17,"Afternoon",HOUR(L298)&lt;21,"Evening",TRUE,"Night")</f>
        <v>Afternoon</v>
      </c>
    </row>
    <row r="300" spans="1:22" x14ac:dyDescent="0.3">
      <c r="A300" t="s">
        <v>389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  <c r="R300" s="5" t="str">
        <f t="shared" si="12"/>
        <v>Low Sale</v>
      </c>
      <c r="S300" s="7">
        <f t="shared" si="13"/>
        <v>4.7619047619047619</v>
      </c>
      <c r="T300" s="7" t="str" cm="1">
        <f t="array" ref="T300">_xlfn.IFS(Q299&gt;=8,"Excellent",Q299&gt;=6,"Good",Q299&gt;=4,"Average",TRUE,"Poor")</f>
        <v>Average</v>
      </c>
      <c r="U300" s="9">
        <f t="shared" si="14"/>
        <v>1.5289313885374616E-3</v>
      </c>
      <c r="V300" s="7" t="str" cm="1">
        <f t="array" ref="V300">_xlfn.IFS(HOUR(L299)&lt;12,"Morning",HOUR(L299)&lt;17,"Afternoon",HOUR(L299)&lt;21,"Evening",TRUE,"Night")</f>
        <v>Afternoon</v>
      </c>
    </row>
    <row r="301" spans="1:22" x14ac:dyDescent="0.3">
      <c r="A301" t="s">
        <v>390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  <c r="R301" s="5" t="str">
        <f t="shared" si="12"/>
        <v>Low Sale</v>
      </c>
      <c r="S301" s="7">
        <f t="shared" si="13"/>
        <v>4.7619047619047628</v>
      </c>
      <c r="T301" s="7" t="str" cm="1">
        <f t="array" ref="T301">_xlfn.IFS(Q300&gt;=8,"Excellent",Q300&gt;=6,"Good",Q300&gt;=4,"Average",TRUE,"Poor")</f>
        <v>Average</v>
      </c>
      <c r="U301" s="9">
        <f t="shared" si="14"/>
        <v>7.803961267851755E-4</v>
      </c>
      <c r="V301" s="7" t="str" cm="1">
        <f t="array" ref="V301">_xlfn.IFS(HOUR(L300)&lt;12,"Morning",HOUR(L300)&lt;17,"Afternoon",HOUR(L300)&lt;21,"Evening",TRUE,"Night")</f>
        <v>Afternoon</v>
      </c>
    </row>
    <row r="302" spans="1:22" x14ac:dyDescent="0.3">
      <c r="A302" t="s">
        <v>391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  <c r="R302" s="5" t="str">
        <f t="shared" si="12"/>
        <v>Low Sale</v>
      </c>
      <c r="S302" s="7">
        <f t="shared" si="13"/>
        <v>4.7619047619047628</v>
      </c>
      <c r="T302" s="7" t="str" cm="1">
        <f t="array" ref="T302">_xlfn.IFS(Q301&gt;=8,"Excellent",Q301&gt;=6,"Good",Q301&gt;=4,"Average",TRUE,"Poor")</f>
        <v>Good</v>
      </c>
      <c r="U302" s="9">
        <f t="shared" si="14"/>
        <v>2.8808073985350108E-4</v>
      </c>
      <c r="V302" s="7" t="str" cm="1">
        <f t="array" ref="V302">_xlfn.IFS(HOUR(L301)&lt;12,"Morning",HOUR(L301)&lt;17,"Afternoon",HOUR(L301)&lt;21,"Evening",TRUE,"Night")</f>
        <v>Morning</v>
      </c>
    </row>
    <row r="303" spans="1:22" x14ac:dyDescent="0.3">
      <c r="A303" t="s">
        <v>392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  <c r="R303" s="5" t="str">
        <f t="shared" si="12"/>
        <v>Low Sale</v>
      </c>
      <c r="S303" s="7">
        <f t="shared" si="13"/>
        <v>4.761904761904761</v>
      </c>
      <c r="T303" s="7" t="str" cm="1">
        <f t="array" ref="T303">_xlfn.IFS(Q302&gt;=8,"Excellent",Q302&gt;=6,"Good",Q302&gt;=4,"Average",TRUE,"Poor")</f>
        <v>Good</v>
      </c>
      <c r="U303" s="9">
        <f t="shared" si="14"/>
        <v>6.4905133624142824E-4</v>
      </c>
      <c r="V303" s="7" t="str" cm="1">
        <f t="array" ref="V303">_xlfn.IFS(HOUR(L302)&lt;12,"Morning",HOUR(L302)&lt;17,"Afternoon",HOUR(L302)&lt;21,"Evening",TRUE,"Night")</f>
        <v>Evening</v>
      </c>
    </row>
    <row r="304" spans="1:22" x14ac:dyDescent="0.3">
      <c r="A304" t="s">
        <v>393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5" t="str">
        <f t="shared" si="12"/>
        <v>Low Sale</v>
      </c>
      <c r="S304" s="7">
        <f t="shared" si="13"/>
        <v>4.761904761904761</v>
      </c>
      <c r="T304" s="7" t="str" cm="1">
        <f t="array" ref="T304">_xlfn.IFS(Q303&gt;=8,"Excellent",Q303&gt;=6,"Good",Q303&gt;=4,"Average",TRUE,"Poor")</f>
        <v>Average</v>
      </c>
      <c r="U304" s="9">
        <f t="shared" si="14"/>
        <v>1.2682574948295991E-4</v>
      </c>
      <c r="V304" s="7" t="str" cm="1">
        <f t="array" ref="V304">_xlfn.IFS(HOUR(L303)&lt;12,"Morning",HOUR(L303)&lt;17,"Afternoon",HOUR(L303)&lt;21,"Evening",TRUE,"Night")</f>
        <v>Afternoon</v>
      </c>
    </row>
    <row r="305" spans="1:22" x14ac:dyDescent="0.3">
      <c r="A305" t="s">
        <v>394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292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  <c r="R305" s="5" t="str">
        <f t="shared" si="12"/>
        <v>Low Sale</v>
      </c>
      <c r="S305" s="7">
        <f t="shared" si="13"/>
        <v>4.7619047619047619</v>
      </c>
      <c r="T305" s="7" t="str" cm="1">
        <f t="array" ref="T305">_xlfn.IFS(Q304&gt;=8,"Excellent",Q304&gt;=6,"Good",Q304&gt;=4,"Average",TRUE,"Poor")</f>
        <v>Average</v>
      </c>
      <c r="U305" s="9">
        <f t="shared" si="14"/>
        <v>1.5803639278048402E-4</v>
      </c>
      <c r="V305" s="7" t="str" cm="1">
        <f t="array" ref="V305">_xlfn.IFS(HOUR(L304)&lt;12,"Morning",HOUR(L304)&lt;17,"Afternoon",HOUR(L304)&lt;21,"Evening",TRUE,"Night")</f>
        <v>Afternoon</v>
      </c>
    </row>
    <row r="306" spans="1:22" x14ac:dyDescent="0.3">
      <c r="A306" t="s">
        <v>395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  <c r="R306" s="5" t="str">
        <f t="shared" si="12"/>
        <v>Low Sale</v>
      </c>
      <c r="S306" s="7">
        <f t="shared" si="13"/>
        <v>4.7619047619047619</v>
      </c>
      <c r="T306" s="7" t="str" cm="1">
        <f t="array" ref="T306">_xlfn.IFS(Q305&gt;=8,"Excellent",Q305&gt;=6,"Good",Q305&gt;=4,"Average",TRUE,"Poor")</f>
        <v>Average</v>
      </c>
      <c r="U306" s="9">
        <f t="shared" si="14"/>
        <v>6.6569701266677435E-4</v>
      </c>
      <c r="V306" s="7" t="str" cm="1">
        <f t="array" ref="V306">_xlfn.IFS(HOUR(L305)&lt;12,"Morning",HOUR(L305)&lt;17,"Afternoon",HOUR(L305)&lt;21,"Evening",TRUE,"Night")</f>
        <v>Evening</v>
      </c>
    </row>
    <row r="307" spans="1:22" x14ac:dyDescent="0.3">
      <c r="A307" t="s">
        <v>396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  <c r="R307" s="5" t="str">
        <f t="shared" si="12"/>
        <v>Low Sale</v>
      </c>
      <c r="S307" s="7">
        <f t="shared" si="13"/>
        <v>4.7619047619047619</v>
      </c>
      <c r="T307" s="7" t="str" cm="1">
        <f t="array" ref="T307">_xlfn.IFS(Q306&gt;=8,"Excellent",Q306&gt;=6,"Good",Q306&gt;=4,"Average",TRUE,"Poor")</f>
        <v>Excellent</v>
      </c>
      <c r="U307" s="9">
        <f t="shared" si="14"/>
        <v>3.8909268644246711E-4</v>
      </c>
      <c r="V307" s="7" t="str" cm="1">
        <f t="array" ref="V307">_xlfn.IFS(HOUR(L306)&lt;12,"Morning",HOUR(L306)&lt;17,"Afternoon",HOUR(L306)&lt;21,"Evening",TRUE,"Night")</f>
        <v>Afternoon</v>
      </c>
    </row>
    <row r="308" spans="1:22" x14ac:dyDescent="0.3">
      <c r="A308" t="s">
        <v>397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  <c r="R308" s="5" t="str">
        <f t="shared" si="12"/>
        <v>Medium Sale</v>
      </c>
      <c r="S308" s="7">
        <f t="shared" si="13"/>
        <v>4.7619047619047628</v>
      </c>
      <c r="T308" s="7" t="str" cm="1">
        <f t="array" ref="T308">_xlfn.IFS(Q307&gt;=8,"Excellent",Q307&gt;=6,"Good",Q307&gt;=4,"Average",TRUE,"Poor")</f>
        <v>Average</v>
      </c>
      <c r="U308" s="9">
        <f t="shared" si="14"/>
        <v>1.6431103252675706E-3</v>
      </c>
      <c r="V308" s="7" t="str" cm="1">
        <f t="array" ref="V308">_xlfn.IFS(HOUR(L307)&lt;12,"Morning",HOUR(L307)&lt;17,"Afternoon",HOUR(L307)&lt;21,"Evening",TRUE,"Night")</f>
        <v>Evening</v>
      </c>
    </row>
    <row r="309" spans="1:22" x14ac:dyDescent="0.3">
      <c r="A309" t="s">
        <v>398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5" t="str">
        <f t="shared" si="12"/>
        <v>Low Sale</v>
      </c>
      <c r="S309" s="7">
        <f t="shared" si="13"/>
        <v>4.7619047619047628</v>
      </c>
      <c r="T309" s="7" t="str" cm="1">
        <f t="array" ref="T309">_xlfn.IFS(Q308&gt;=8,"Excellent",Q308&gt;=6,"Good",Q308&gt;=4,"Average",TRUE,"Poor")</f>
        <v>Excellent</v>
      </c>
      <c r="U309" s="9">
        <f t="shared" si="14"/>
        <v>9.1554471448080841E-4</v>
      </c>
      <c r="V309" s="7" t="str" cm="1">
        <f t="array" ref="V309">_xlfn.IFS(HOUR(L308)&lt;12,"Morning",HOUR(L308)&lt;17,"Afternoon",HOUR(L308)&lt;21,"Evening",TRUE,"Night")</f>
        <v>Afternoon</v>
      </c>
    </row>
    <row r="310" spans="1:22" x14ac:dyDescent="0.3">
      <c r="A310" t="s">
        <v>399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257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  <c r="R310" s="5" t="str">
        <f t="shared" si="12"/>
        <v>Medium Sale</v>
      </c>
      <c r="S310" s="7">
        <f t="shared" si="13"/>
        <v>4.7619047619047619</v>
      </c>
      <c r="T310" s="7" t="str" cm="1">
        <f t="array" ref="T310">_xlfn.IFS(Q309&gt;=8,"Excellent",Q309&gt;=6,"Good",Q309&gt;=4,"Average",TRUE,"Poor")</f>
        <v>Average</v>
      </c>
      <c r="U310" s="9">
        <f t="shared" si="14"/>
        <v>2.3093275153226373E-3</v>
      </c>
      <c r="V310" s="7" t="str" cm="1">
        <f t="array" ref="V310">_xlfn.IFS(HOUR(L309)&lt;12,"Morning",HOUR(L309)&lt;17,"Afternoon",HOUR(L309)&lt;21,"Evening",TRUE,"Night")</f>
        <v>Evening</v>
      </c>
    </row>
    <row r="311" spans="1:22" x14ac:dyDescent="0.3">
      <c r="A311" t="s">
        <v>400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  <c r="R311" s="5" t="str">
        <f t="shared" si="12"/>
        <v>Low Sale</v>
      </c>
      <c r="S311" s="7">
        <f t="shared" si="13"/>
        <v>4.7619047619047619</v>
      </c>
      <c r="T311" s="7" t="str" cm="1">
        <f t="array" ref="T311">_xlfn.IFS(Q310&gt;=8,"Excellent",Q310&gt;=6,"Good",Q310&gt;=4,"Average",TRUE,"Poor")</f>
        <v>Average</v>
      </c>
      <c r="U311" s="9">
        <f t="shared" si="14"/>
        <v>2.5826807328701196E-4</v>
      </c>
      <c r="V311" s="7" t="str" cm="1">
        <f t="array" ref="V311">_xlfn.IFS(HOUR(L310)&lt;12,"Morning",HOUR(L310)&lt;17,"Afternoon",HOUR(L310)&lt;21,"Evening",TRUE,"Night")</f>
        <v>Morning</v>
      </c>
    </row>
    <row r="312" spans="1:22" x14ac:dyDescent="0.3">
      <c r="A312" t="s">
        <v>401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308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  <c r="R312" s="5" t="str">
        <f t="shared" si="12"/>
        <v>Low Sale</v>
      </c>
      <c r="S312" s="7">
        <f t="shared" si="13"/>
        <v>4.7619047619047628</v>
      </c>
      <c r="T312" s="7" t="str" cm="1">
        <f t="array" ref="T312">_xlfn.IFS(Q311&gt;=8,"Excellent",Q311&gt;=6,"Good",Q311&gt;=4,"Average",TRUE,"Poor")</f>
        <v>Good</v>
      </c>
      <c r="U312" s="9">
        <f t="shared" si="14"/>
        <v>5.3259662343754137E-4</v>
      </c>
      <c r="V312" s="7" t="str" cm="1">
        <f t="array" ref="V312">_xlfn.IFS(HOUR(L311)&lt;12,"Morning",HOUR(L311)&lt;17,"Afternoon",HOUR(L311)&lt;21,"Evening",TRUE,"Night")</f>
        <v>Evening</v>
      </c>
    </row>
    <row r="313" spans="1:22" x14ac:dyDescent="0.3">
      <c r="A313" t="s">
        <v>402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5" t="str">
        <f t="shared" si="12"/>
        <v>Medium Sale</v>
      </c>
      <c r="S313" s="7">
        <f t="shared" si="13"/>
        <v>4.7619047619047619</v>
      </c>
      <c r="T313" s="7" t="str" cm="1">
        <f t="array" ref="T313">_xlfn.IFS(Q312&gt;=8,"Excellent",Q312&gt;=6,"Good",Q312&gt;=4,"Average",TRUE,"Poor")</f>
        <v>Average</v>
      </c>
      <c r="U313" s="9">
        <f t="shared" si="14"/>
        <v>1.5591666992319383E-3</v>
      </c>
      <c r="V313" s="7" t="str" cm="1">
        <f t="array" ref="V313">_xlfn.IFS(HOUR(L312)&lt;12,"Morning",HOUR(L312)&lt;17,"Afternoon",HOUR(L312)&lt;21,"Evening",TRUE,"Night")</f>
        <v>Afternoon</v>
      </c>
    </row>
    <row r="314" spans="1:22" x14ac:dyDescent="0.3">
      <c r="A314" t="s">
        <v>403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5" t="str">
        <f t="shared" si="12"/>
        <v>Low Sale</v>
      </c>
      <c r="S314" s="7">
        <f t="shared" si="13"/>
        <v>4.7619047619047628</v>
      </c>
      <c r="T314" s="7" t="str" cm="1">
        <f t="array" ref="T314">_xlfn.IFS(Q313&gt;=8,"Excellent",Q313&gt;=6,"Good",Q313&gt;=4,"Average",TRUE,"Poor")</f>
        <v>Excellent</v>
      </c>
      <c r="U314" s="9">
        <f t="shared" si="14"/>
        <v>4.5079872912861369E-4</v>
      </c>
      <c r="V314" s="7" t="str" cm="1">
        <f t="array" ref="V314">_xlfn.IFS(HOUR(L313)&lt;12,"Morning",HOUR(L313)&lt;17,"Afternoon",HOUR(L313)&lt;21,"Evening",TRUE,"Night")</f>
        <v>Evening</v>
      </c>
    </row>
    <row r="315" spans="1:22" x14ac:dyDescent="0.3">
      <c r="A315" t="s">
        <v>404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  <c r="R315" s="5" t="str">
        <f t="shared" si="12"/>
        <v>Low Sale</v>
      </c>
      <c r="S315" s="7">
        <f t="shared" si="13"/>
        <v>4.7619047619047628</v>
      </c>
      <c r="T315" s="7" t="str" cm="1">
        <f t="array" ref="T315">_xlfn.IFS(Q314&gt;=8,"Excellent",Q314&gt;=6,"Good",Q314&gt;=4,"Average",TRUE,"Poor")</f>
        <v>Average</v>
      </c>
      <c r="U315" s="9">
        <f t="shared" si="14"/>
        <v>2.3131638235612912E-4</v>
      </c>
      <c r="V315" s="7" t="str" cm="1">
        <f t="array" ref="V315">_xlfn.IFS(HOUR(L314)&lt;12,"Morning",HOUR(L314)&lt;17,"Afternoon",HOUR(L314)&lt;21,"Evening",TRUE,"Night")</f>
        <v>Morning</v>
      </c>
    </row>
    <row r="316" spans="1:22" x14ac:dyDescent="0.3">
      <c r="A316" t="s">
        <v>405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5" t="str">
        <f t="shared" si="12"/>
        <v>Low Sale</v>
      </c>
      <c r="S316" s="7">
        <f t="shared" si="13"/>
        <v>4.7619047619047619</v>
      </c>
      <c r="T316" s="7" t="str" cm="1">
        <f t="array" ref="T316">_xlfn.IFS(Q315&gt;=8,"Excellent",Q315&gt;=6,"Good",Q315&gt;=4,"Average",TRUE,"Poor")</f>
        <v>Average</v>
      </c>
      <c r="U316" s="9">
        <f t="shared" si="14"/>
        <v>4.5499265932171846E-4</v>
      </c>
      <c r="V316" s="7" t="str" cm="1">
        <f t="array" ref="V316">_xlfn.IFS(HOUR(L315)&lt;12,"Morning",HOUR(L315)&lt;17,"Afternoon",HOUR(L315)&lt;21,"Evening",TRUE,"Night")</f>
        <v>Afternoon</v>
      </c>
    </row>
    <row r="317" spans="1:22" x14ac:dyDescent="0.3">
      <c r="A317" t="s">
        <v>406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  <c r="R317" s="5" t="str">
        <f t="shared" si="12"/>
        <v>Medium Sale</v>
      </c>
      <c r="S317" s="7">
        <f t="shared" si="13"/>
        <v>4.7619047619047619</v>
      </c>
      <c r="T317" s="7" t="str" cm="1">
        <f t="array" ref="T317">_xlfn.IFS(Q316&gt;=8,"Excellent",Q316&gt;=6,"Good",Q316&gt;=4,"Average",TRUE,"Poor")</f>
        <v>Average</v>
      </c>
      <c r="U317" s="9">
        <f t="shared" si="14"/>
        <v>2.540091209203706E-3</v>
      </c>
      <c r="V317" s="7" t="str" cm="1">
        <f t="array" ref="V317">_xlfn.IFS(HOUR(L316)&lt;12,"Morning",HOUR(L316)&lt;17,"Afternoon",HOUR(L316)&lt;21,"Evening",TRUE,"Night")</f>
        <v>Evening</v>
      </c>
    </row>
    <row r="318" spans="1:22" x14ac:dyDescent="0.3">
      <c r="A318" t="s">
        <v>407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  <c r="R318" s="5" t="str">
        <f t="shared" si="12"/>
        <v>Low Sale</v>
      </c>
      <c r="S318" s="7">
        <f t="shared" si="13"/>
        <v>4.7619047619047619</v>
      </c>
      <c r="T318" s="7" t="str" cm="1">
        <f t="array" ref="T318">_xlfn.IFS(Q317&gt;=8,"Excellent",Q317&gt;=6,"Good",Q317&gt;=4,"Average",TRUE,"Poor")</f>
        <v>Average</v>
      </c>
      <c r="U318" s="9">
        <f t="shared" si="14"/>
        <v>6.4612533843228534E-4</v>
      </c>
      <c r="V318" s="7" t="str" cm="1">
        <f t="array" ref="V318">_xlfn.IFS(HOUR(L317)&lt;12,"Morning",HOUR(L317)&lt;17,"Afternoon",HOUR(L317)&lt;21,"Evening",TRUE,"Night")</f>
        <v>Evening</v>
      </c>
    </row>
    <row r="319" spans="1:22" x14ac:dyDescent="0.3">
      <c r="A319" t="s">
        <v>408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5" t="str">
        <f t="shared" si="12"/>
        <v>Low Sale</v>
      </c>
      <c r="S319" s="7">
        <f t="shared" si="13"/>
        <v>4.7619047619047619</v>
      </c>
      <c r="T319" s="7" t="str" cm="1">
        <f t="array" ref="T319">_xlfn.IFS(Q318&gt;=8,"Excellent",Q318&gt;=6,"Good",Q318&gt;=4,"Average",TRUE,"Poor")</f>
        <v>Good</v>
      </c>
      <c r="U319" s="9">
        <f t="shared" si="14"/>
        <v>2.0560011272244001E-4</v>
      </c>
      <c r="V319" s="7" t="str" cm="1">
        <f t="array" ref="V319">_xlfn.IFS(HOUR(L318)&lt;12,"Morning",HOUR(L318)&lt;17,"Afternoon",HOUR(L318)&lt;21,"Evening",TRUE,"Night")</f>
        <v>Morning</v>
      </c>
    </row>
    <row r="320" spans="1:22" x14ac:dyDescent="0.3">
      <c r="A320" t="s">
        <v>409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  <c r="R320" s="5" t="str">
        <f t="shared" si="12"/>
        <v>Low Sale</v>
      </c>
      <c r="S320" s="7">
        <f t="shared" si="13"/>
        <v>4.7619047619047628</v>
      </c>
      <c r="T320" s="7" t="str" cm="1">
        <f t="array" ref="T320">_xlfn.IFS(Q319&gt;=8,"Excellent",Q319&gt;=6,"Good",Q319&gt;=4,"Average",TRUE,"Poor")</f>
        <v>Average</v>
      </c>
      <c r="U320" s="9">
        <f t="shared" si="14"/>
        <v>1.2157520896988684E-3</v>
      </c>
      <c r="V320" s="7" t="str" cm="1">
        <f t="array" ref="V320">_xlfn.IFS(HOUR(L319)&lt;12,"Morning",HOUR(L319)&lt;17,"Afternoon",HOUR(L319)&lt;21,"Evening",TRUE,"Night")</f>
        <v>Morning</v>
      </c>
    </row>
    <row r="321" spans="1:22" x14ac:dyDescent="0.3">
      <c r="A321" t="s">
        <v>410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  <c r="R321" s="5" t="str">
        <f t="shared" si="12"/>
        <v>Low Sale</v>
      </c>
      <c r="S321" s="7">
        <f t="shared" si="13"/>
        <v>4.7619047619047619</v>
      </c>
      <c r="T321" s="7" t="str" cm="1">
        <f t="array" ref="T321">_xlfn.IFS(Q320&gt;=8,"Excellent",Q320&gt;=6,"Good",Q320&gt;=4,"Average",TRUE,"Poor")</f>
        <v>Excellent</v>
      </c>
      <c r="U321" s="9">
        <f t="shared" si="14"/>
        <v>6.7522276108987294E-4</v>
      </c>
      <c r="V321" s="7" t="str" cm="1">
        <f t="array" ref="V321">_xlfn.IFS(HOUR(L320)&lt;12,"Morning",HOUR(L320)&lt;17,"Afternoon",HOUR(L320)&lt;21,"Evening",TRUE,"Night")</f>
        <v>Evening</v>
      </c>
    </row>
    <row r="322" spans="1:22" x14ac:dyDescent="0.3">
      <c r="A322" t="s">
        <v>411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317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  <c r="R322" s="5" t="str">
        <f t="shared" si="12"/>
        <v>Low Sale</v>
      </c>
      <c r="S322" s="7">
        <f t="shared" si="13"/>
        <v>4.7619047619047628</v>
      </c>
      <c r="T322" s="7" t="str" cm="1">
        <f t="array" ref="T322">_xlfn.IFS(Q321&gt;=8,"Excellent",Q321&gt;=6,"Good",Q321&gt;=4,"Average",TRUE,"Poor")</f>
        <v>Excellent</v>
      </c>
      <c r="U322" s="9">
        <f t="shared" si="14"/>
        <v>5.7310543755078626E-4</v>
      </c>
      <c r="V322" s="7" t="str" cm="1">
        <f t="array" ref="V322">_xlfn.IFS(HOUR(L321)&lt;12,"Morning",HOUR(L321)&lt;17,"Afternoon",HOUR(L321)&lt;21,"Evening",TRUE,"Night")</f>
        <v>Afternoon</v>
      </c>
    </row>
    <row r="323" spans="1:22" x14ac:dyDescent="0.3">
      <c r="A323" t="s">
        <v>412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  <c r="R323" s="5" t="str">
        <f t="shared" si="12"/>
        <v>Low Sale</v>
      </c>
      <c r="S323" s="7">
        <f t="shared" si="13"/>
        <v>4.7619047619047619</v>
      </c>
      <c r="T323" s="7" t="str" cm="1">
        <f t="array" ref="T323">_xlfn.IFS(Q322&gt;=8,"Excellent",Q322&gt;=6,"Good",Q322&gt;=4,"Average",TRUE,"Poor")</f>
        <v>Average</v>
      </c>
      <c r="U323" s="9">
        <f t="shared" si="14"/>
        <v>6.7093129763646337E-4</v>
      </c>
      <c r="V323" s="7" t="str" cm="1">
        <f t="array" ref="V323">_xlfn.IFS(HOUR(L322)&lt;12,"Morning",HOUR(L322)&lt;17,"Afternoon",HOUR(L322)&lt;21,"Evening",TRUE,"Night")</f>
        <v>Evening</v>
      </c>
    </row>
    <row r="324" spans="1:22" x14ac:dyDescent="0.3">
      <c r="A324" t="s">
        <v>413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5" t="str">
        <f t="shared" ref="R324:R387" si="15">IF(J323&gt;=1000,"High Sale",IF(J323&gt;=500,"Medium Sale","Low Sale"))</f>
        <v>Low Sale</v>
      </c>
      <c r="S324" s="7">
        <f t="shared" ref="S324:S387" si="16">(P323/J323)*100</f>
        <v>4.7619047619047628</v>
      </c>
      <c r="T324" s="7" t="str" cm="1">
        <f t="array" ref="T324">_xlfn.IFS(Q323&gt;=8,"Excellent",Q323&gt;=6,"Good",Q323&gt;=4,"Average",TRUE,"Poor")</f>
        <v>Excellent</v>
      </c>
      <c r="U324" s="9">
        <f t="shared" ref="U324:U387" si="17">J323/SUM($J$2:$J$1001)</f>
        <v>1.2815870404045833E-4</v>
      </c>
      <c r="V324" s="7" t="str" cm="1">
        <f t="array" ref="V324">_xlfn.IFS(HOUR(L323)&lt;12,"Morning",HOUR(L323)&lt;17,"Afternoon",HOUR(L323)&lt;21,"Evening",TRUE,"Night")</f>
        <v>Afternoon</v>
      </c>
    </row>
    <row r="325" spans="1:22" x14ac:dyDescent="0.3">
      <c r="A325" t="s">
        <v>414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  <c r="R325" s="5" t="str">
        <f t="shared" si="15"/>
        <v>Low Sale</v>
      </c>
      <c r="S325" s="7">
        <f t="shared" si="16"/>
        <v>4.7619047619047619</v>
      </c>
      <c r="T325" s="7" t="str" cm="1">
        <f t="array" ref="T325">_xlfn.IFS(Q324&gt;=8,"Excellent",Q324&gt;=6,"Good",Q324&gt;=4,"Average",TRUE,"Poor")</f>
        <v>Excellent</v>
      </c>
      <c r="U325" s="9">
        <f t="shared" si="17"/>
        <v>2.976715104501361E-4</v>
      </c>
      <c r="V325" s="7" t="str" cm="1">
        <f t="array" ref="V325">_xlfn.IFS(HOUR(L324)&lt;12,"Morning",HOUR(L324)&lt;17,"Afternoon",HOUR(L324)&lt;21,"Evening",TRUE,"Night")</f>
        <v>Evening</v>
      </c>
    </row>
    <row r="326" spans="1:22" x14ac:dyDescent="0.3">
      <c r="A326" t="s">
        <v>415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  <c r="R326" s="5" t="str">
        <f t="shared" si="15"/>
        <v>Low Sale</v>
      </c>
      <c r="S326" s="7">
        <f t="shared" si="16"/>
        <v>4.7619047619047619</v>
      </c>
      <c r="T326" s="7" t="str" cm="1">
        <f t="array" ref="T326">_xlfn.IFS(Q325&gt;=8,"Excellent",Q325&gt;=6,"Good",Q325&gt;=4,"Average",TRUE,"Poor")</f>
        <v>Good</v>
      </c>
      <c r="U326" s="9">
        <f t="shared" si="17"/>
        <v>1.0041049148375332E-3</v>
      </c>
      <c r="V326" s="7" t="str" cm="1">
        <f t="array" ref="V326">_xlfn.IFS(HOUR(L325)&lt;12,"Morning",HOUR(L325)&lt;17,"Afternoon",HOUR(L325)&lt;21,"Evening",TRUE,"Night")</f>
        <v>Afternoon</v>
      </c>
    </row>
    <row r="327" spans="1:22" x14ac:dyDescent="0.3">
      <c r="A327" t="s">
        <v>416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  <c r="R327" s="5" t="str">
        <f t="shared" si="15"/>
        <v>Low Sale</v>
      </c>
      <c r="S327" s="7">
        <f t="shared" si="16"/>
        <v>4.7619047619047628</v>
      </c>
      <c r="T327" s="7" t="str" cm="1">
        <f t="array" ref="T327">_xlfn.IFS(Q326&gt;=8,"Excellent",Q326&gt;=6,"Good",Q326&gt;=4,"Average",TRUE,"Poor")</f>
        <v>Excellent</v>
      </c>
      <c r="U327" s="9">
        <f t="shared" si="17"/>
        <v>4.1978315235169909E-4</v>
      </c>
      <c r="V327" s="7" t="str" cm="1">
        <f t="array" ref="V327">_xlfn.IFS(HOUR(L326)&lt;12,"Morning",HOUR(L326)&lt;17,"Afternoon",HOUR(L326)&lt;21,"Evening",TRUE,"Night")</f>
        <v>Afternoon</v>
      </c>
    </row>
    <row r="328" spans="1:22" x14ac:dyDescent="0.3">
      <c r="A328" t="s">
        <v>417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  <c r="R328" s="5" t="str">
        <f t="shared" si="15"/>
        <v>Low Sale</v>
      </c>
      <c r="S328" s="7">
        <f t="shared" si="16"/>
        <v>4.7619047619047619</v>
      </c>
      <c r="T328" s="7" t="str" cm="1">
        <f t="array" ref="T328">_xlfn.IFS(Q327&gt;=8,"Excellent",Q327&gt;=6,"Good",Q327&gt;=4,"Average",TRUE,"Poor")</f>
        <v>Good</v>
      </c>
      <c r="U328" s="9">
        <f t="shared" si="17"/>
        <v>1.2710534482916688E-3</v>
      </c>
      <c r="V328" s="7" t="str" cm="1">
        <f t="array" ref="V328">_xlfn.IFS(HOUR(L327)&lt;12,"Morning",HOUR(L327)&lt;17,"Afternoon",HOUR(L327)&lt;21,"Evening",TRUE,"Night")</f>
        <v>Evening</v>
      </c>
    </row>
    <row r="329" spans="1:22" x14ac:dyDescent="0.3">
      <c r="A329" t="s">
        <v>418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 s="5" t="str">
        <f t="shared" si="15"/>
        <v>Medium Sale</v>
      </c>
      <c r="S329" s="7">
        <f t="shared" si="16"/>
        <v>4.7619047619047619</v>
      </c>
      <c r="T329" s="7" t="str" cm="1">
        <f t="array" ref="T329">_xlfn.IFS(Q328&gt;=8,"Excellent",Q328&gt;=6,"Good",Q328&gt;=4,"Average",TRUE,"Poor")</f>
        <v>Average</v>
      </c>
      <c r="U329" s="9">
        <f t="shared" si="17"/>
        <v>1.6219781188682055E-3</v>
      </c>
      <c r="V329" s="7" t="str" cm="1">
        <f t="array" ref="V329">_xlfn.IFS(HOUR(L328)&lt;12,"Morning",HOUR(L328)&lt;17,"Afternoon",HOUR(L328)&lt;21,"Evening",TRUE,"Night")</f>
        <v>Evening</v>
      </c>
    </row>
    <row r="330" spans="1:22" x14ac:dyDescent="0.3">
      <c r="A330" t="s">
        <v>419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  <c r="R330" s="5" t="str">
        <f t="shared" si="15"/>
        <v>Low Sale</v>
      </c>
      <c r="S330" s="7">
        <f t="shared" si="16"/>
        <v>4.7619047619047628</v>
      </c>
      <c r="T330" s="7" t="str" cm="1">
        <f t="array" ref="T330">_xlfn.IFS(Q329&gt;=8,"Excellent",Q329&gt;=6,"Good",Q329&gt;=4,"Average",TRUE,"Poor")</f>
        <v>Excellent</v>
      </c>
      <c r="U330" s="9">
        <f t="shared" si="17"/>
        <v>1.225798015510259E-3</v>
      </c>
      <c r="V330" s="7" t="str" cm="1">
        <f t="array" ref="V330">_xlfn.IFS(HOUR(L329)&lt;12,"Morning",HOUR(L329)&lt;17,"Afternoon",HOUR(L329)&lt;21,"Evening",TRUE,"Night")</f>
        <v>Afternoon</v>
      </c>
    </row>
    <row r="331" spans="1:22" x14ac:dyDescent="0.3">
      <c r="A331" t="s">
        <v>420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  <c r="R331" s="5" t="str">
        <f t="shared" si="15"/>
        <v>Low Sale</v>
      </c>
      <c r="S331" s="7">
        <f t="shared" si="16"/>
        <v>4.7619047619047628</v>
      </c>
      <c r="T331" s="7" t="str" cm="1">
        <f t="array" ref="T331">_xlfn.IFS(Q330&gt;=8,"Excellent",Q330&gt;=6,"Good",Q330&gt;=4,"Average",TRUE,"Poor")</f>
        <v>Average</v>
      </c>
      <c r="U331" s="9">
        <f t="shared" si="17"/>
        <v>6.6491674658433633E-4</v>
      </c>
      <c r="V331" s="7" t="str" cm="1">
        <f t="array" ref="V331">_xlfn.IFS(HOUR(L330)&lt;12,"Morning",HOUR(L330)&lt;17,"Afternoon",HOUR(L330)&lt;21,"Evening",TRUE,"Night")</f>
        <v>Morning</v>
      </c>
    </row>
    <row r="332" spans="1:22" x14ac:dyDescent="0.3">
      <c r="A332" t="s">
        <v>421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  <c r="R332" s="5" t="str">
        <f t="shared" si="15"/>
        <v>Low Sale</v>
      </c>
      <c r="S332" s="7">
        <f t="shared" si="16"/>
        <v>4.7619047619047628</v>
      </c>
      <c r="T332" s="7" t="str" cm="1">
        <f t="array" ref="T332">_xlfn.IFS(Q331&gt;=8,"Excellent",Q331&gt;=6,"Good",Q331&gt;=4,"Average",TRUE,"Poor")</f>
        <v>Good</v>
      </c>
      <c r="U332" s="9">
        <f t="shared" si="17"/>
        <v>4.7284124595749005E-4</v>
      </c>
      <c r="V332" s="7" t="str" cm="1">
        <f t="array" ref="V332">_xlfn.IFS(HOUR(L331)&lt;12,"Morning",HOUR(L331)&lt;17,"Afternoon",HOUR(L331)&lt;21,"Evening",TRUE,"Night")</f>
        <v>Afternoon</v>
      </c>
    </row>
    <row r="333" spans="1:22" x14ac:dyDescent="0.3">
      <c r="A333" t="s">
        <v>422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  <c r="R333" s="5" t="str">
        <f t="shared" si="15"/>
        <v>Low Sale</v>
      </c>
      <c r="S333" s="7">
        <f t="shared" si="16"/>
        <v>4.7619047619047628</v>
      </c>
      <c r="T333" s="7" t="str" cm="1">
        <f t="array" ref="T333">_xlfn.IFS(Q332&gt;=8,"Excellent",Q332&gt;=6,"Good",Q332&gt;=4,"Average",TRUE,"Poor")</f>
        <v>Good</v>
      </c>
      <c r="U333" s="9">
        <f t="shared" si="17"/>
        <v>6.4430471757326313E-4</v>
      </c>
      <c r="V333" s="7" t="str" cm="1">
        <f t="array" ref="V333">_xlfn.IFS(HOUR(L332)&lt;12,"Morning",HOUR(L332)&lt;17,"Afternoon",HOUR(L332)&lt;21,"Evening",TRUE,"Night")</f>
        <v>Evening</v>
      </c>
    </row>
    <row r="334" spans="1:22" x14ac:dyDescent="0.3">
      <c r="A334" t="s">
        <v>423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  <c r="R334" s="5" t="str">
        <f t="shared" si="15"/>
        <v>Low Sale</v>
      </c>
      <c r="S334" s="7">
        <f t="shared" si="16"/>
        <v>4.761904761904761</v>
      </c>
      <c r="T334" s="7" t="str" cm="1">
        <f t="array" ref="T334">_xlfn.IFS(Q333&gt;=8,"Excellent",Q333&gt;=6,"Good",Q333&gt;=4,"Average",TRUE,"Poor")</f>
        <v>Excellent</v>
      </c>
      <c r="U334" s="9">
        <f t="shared" si="17"/>
        <v>3.2088442640266964E-4</v>
      </c>
      <c r="V334" s="7" t="str" cm="1">
        <f t="array" ref="V334">_xlfn.IFS(HOUR(L333)&lt;12,"Morning",HOUR(L333)&lt;17,"Afternoon",HOUR(L333)&lt;21,"Evening",TRUE,"Night")</f>
        <v>Evening</v>
      </c>
    </row>
    <row r="335" spans="1:22" x14ac:dyDescent="0.3">
      <c r="A335" t="s">
        <v>424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357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  <c r="R335" s="5" t="str">
        <f t="shared" si="15"/>
        <v>Low Sale</v>
      </c>
      <c r="S335" s="7">
        <f t="shared" si="16"/>
        <v>4.7619047619047619</v>
      </c>
      <c r="T335" s="7" t="str" cm="1">
        <f t="array" ref="T335">_xlfn.IFS(Q334&gt;=8,"Excellent",Q334&gt;=6,"Good",Q334&gt;=4,"Average",TRUE,"Poor")</f>
        <v>Average</v>
      </c>
      <c r="U335" s="9">
        <f t="shared" si="17"/>
        <v>1.2520019514454719E-3</v>
      </c>
      <c r="V335" s="7" t="str" cm="1">
        <f t="array" ref="V335">_xlfn.IFS(HOUR(L334)&lt;12,"Morning",HOUR(L334)&lt;17,"Afternoon",HOUR(L334)&lt;21,"Evening",TRUE,"Night")</f>
        <v>Afternoon</v>
      </c>
    </row>
    <row r="336" spans="1:22" x14ac:dyDescent="0.3">
      <c r="A336" t="s">
        <v>425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  <c r="R336" s="5" t="str">
        <f t="shared" si="15"/>
        <v>Low Sale</v>
      </c>
      <c r="S336" s="7">
        <f t="shared" si="16"/>
        <v>4.7619047619047619</v>
      </c>
      <c r="T336" s="7" t="str" cm="1">
        <f t="array" ref="T336">_xlfn.IFS(Q335&gt;=8,"Excellent",Q335&gt;=6,"Good",Q335&gt;=4,"Average",TRUE,"Poor")</f>
        <v>Good</v>
      </c>
      <c r="U336" s="9">
        <f t="shared" si="17"/>
        <v>1.5267206346372206E-4</v>
      </c>
      <c r="V336" s="7" t="str" cm="1">
        <f t="array" ref="V336">_xlfn.IFS(HOUR(L335)&lt;12,"Morning",HOUR(L335)&lt;17,"Afternoon",HOUR(L335)&lt;21,"Evening",TRUE,"Night")</f>
        <v>Morning</v>
      </c>
    </row>
    <row r="337" spans="1:22" x14ac:dyDescent="0.3">
      <c r="A337" t="s">
        <v>426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257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  <c r="R337" s="5" t="str">
        <f t="shared" si="15"/>
        <v>Low Sale</v>
      </c>
      <c r="S337" s="7">
        <f t="shared" si="16"/>
        <v>4.7619047619047619</v>
      </c>
      <c r="T337" s="7" t="str" cm="1">
        <f t="array" ref="T337">_xlfn.IFS(Q336&gt;=8,"Excellent",Q336&gt;=6,"Good",Q336&gt;=4,"Average",TRUE,"Poor")</f>
        <v>Excellent</v>
      </c>
      <c r="U337" s="9">
        <f t="shared" si="17"/>
        <v>2.3895648774666887E-4</v>
      </c>
      <c r="V337" s="7" t="str" cm="1">
        <f t="array" ref="V337">_xlfn.IFS(HOUR(L336)&lt;12,"Morning",HOUR(L336)&lt;17,"Afternoon",HOUR(L336)&lt;21,"Evening",TRUE,"Night")</f>
        <v>Afternoon</v>
      </c>
    </row>
    <row r="338" spans="1:22" x14ac:dyDescent="0.3">
      <c r="A338" t="s">
        <v>427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  <c r="R338" s="5" t="str">
        <f t="shared" si="15"/>
        <v>Low Sale</v>
      </c>
      <c r="S338" s="7">
        <f t="shared" si="16"/>
        <v>4.7619047619047619</v>
      </c>
      <c r="T338" s="7" t="str" cm="1">
        <f t="array" ref="T338">_xlfn.IFS(Q337&gt;=8,"Excellent",Q337&gt;=6,"Good",Q337&gt;=4,"Average",TRUE,"Poor")</f>
        <v>Excellent</v>
      </c>
      <c r="U338" s="9">
        <f t="shared" si="17"/>
        <v>4.6247020927841701E-4</v>
      </c>
      <c r="V338" s="7" t="str" cm="1">
        <f t="array" ref="V338">_xlfn.IFS(HOUR(L337)&lt;12,"Morning",HOUR(L337)&lt;17,"Afternoon",HOUR(L337)&lt;21,"Evening",TRUE,"Night")</f>
        <v>Morning</v>
      </c>
    </row>
    <row r="339" spans="1:22" x14ac:dyDescent="0.3">
      <c r="A339" t="s">
        <v>428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  <c r="R339" s="5" t="str">
        <f t="shared" si="15"/>
        <v>Medium Sale</v>
      </c>
      <c r="S339" s="7">
        <f t="shared" si="16"/>
        <v>4.7619047619047628</v>
      </c>
      <c r="T339" s="7" t="str" cm="1">
        <f t="array" ref="T339">_xlfn.IFS(Q338&gt;=8,"Excellent",Q338&gt;=6,"Good",Q338&gt;=4,"Average",TRUE,"Poor")</f>
        <v>Good</v>
      </c>
      <c r="U339" s="9">
        <f t="shared" si="17"/>
        <v>2.2354623261851636E-3</v>
      </c>
      <c r="V339" s="7" t="str" cm="1">
        <f t="array" ref="V339">_xlfn.IFS(HOUR(L338)&lt;12,"Morning",HOUR(L338)&lt;17,"Afternoon",HOUR(L338)&lt;21,"Evening",TRUE,"Night")</f>
        <v>Afternoon</v>
      </c>
    </row>
    <row r="340" spans="1:22" x14ac:dyDescent="0.3">
      <c r="A340" t="s">
        <v>429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  <c r="R340" s="5" t="str">
        <f t="shared" si="15"/>
        <v>Low Sale</v>
      </c>
      <c r="S340" s="7">
        <f t="shared" si="16"/>
        <v>4.7619047619047628</v>
      </c>
      <c r="T340" s="7" t="str" cm="1">
        <f t="array" ref="T340">_xlfn.IFS(Q339&gt;=8,"Excellent",Q339&gt;=6,"Good",Q339&gt;=4,"Average",TRUE,"Poor")</f>
        <v>Average</v>
      </c>
      <c r="U340" s="9">
        <f t="shared" si="17"/>
        <v>1.1304104869322008E-3</v>
      </c>
      <c r="V340" s="7" t="str" cm="1">
        <f t="array" ref="V340">_xlfn.IFS(HOUR(L339)&lt;12,"Morning",HOUR(L339)&lt;17,"Afternoon",HOUR(L339)&lt;21,"Evening",TRUE,"Night")</f>
        <v>Afternoon</v>
      </c>
    </row>
    <row r="341" spans="1:22" x14ac:dyDescent="0.3">
      <c r="A341" t="s">
        <v>430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  <c r="R341" s="5" t="str">
        <f t="shared" si="15"/>
        <v>Low Sale</v>
      </c>
      <c r="S341" s="7">
        <f t="shared" si="16"/>
        <v>4.7619047619047628</v>
      </c>
      <c r="T341" s="7" t="str" cm="1">
        <f t="array" ref="T341">_xlfn.IFS(Q340&gt;=8,"Excellent",Q340&gt;=6,"Good",Q340&gt;=4,"Average",TRUE,"Poor")</f>
        <v>Excellent</v>
      </c>
      <c r="U341" s="9">
        <f t="shared" si="17"/>
        <v>4.6474598535219477E-4</v>
      </c>
      <c r="V341" s="7" t="str" cm="1">
        <f t="array" ref="V341">_xlfn.IFS(HOUR(L340)&lt;12,"Morning",HOUR(L340)&lt;17,"Afternoon",HOUR(L340)&lt;21,"Evening",TRUE,"Night")</f>
        <v>Afternoon</v>
      </c>
    </row>
    <row r="342" spans="1:22" x14ac:dyDescent="0.3">
      <c r="A342" t="s">
        <v>431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  <c r="R342" s="5" t="str">
        <f t="shared" si="15"/>
        <v>Low Sale</v>
      </c>
      <c r="S342" s="7">
        <f t="shared" si="16"/>
        <v>4.7619047619047619</v>
      </c>
      <c r="T342" s="7" t="str" cm="1">
        <f t="array" ref="T342">_xlfn.IFS(Q341&gt;=8,"Excellent",Q341&gt;=6,"Good",Q341&gt;=4,"Average",TRUE,"Poor")</f>
        <v>Excellent</v>
      </c>
      <c r="U342" s="9">
        <f t="shared" si="17"/>
        <v>1.252912261874983E-3</v>
      </c>
      <c r="V342" s="7" t="str" cm="1">
        <f t="array" ref="V342">_xlfn.IFS(HOUR(L341)&lt;12,"Morning",HOUR(L341)&lt;17,"Afternoon",HOUR(L341)&lt;21,"Evening",TRUE,"Night")</f>
        <v>Afternoon</v>
      </c>
    </row>
    <row r="343" spans="1:22" x14ac:dyDescent="0.3">
      <c r="A343" t="s">
        <v>432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  <c r="R343" s="5" t="str">
        <f t="shared" si="15"/>
        <v>Low Sale</v>
      </c>
      <c r="S343" s="7">
        <f t="shared" si="16"/>
        <v>4.7619047619047628</v>
      </c>
      <c r="T343" s="7" t="str" cm="1">
        <f t="array" ref="T343">_xlfn.IFS(Q342&gt;=8,"Excellent",Q342&gt;=6,"Good",Q342&gt;=4,"Average",TRUE,"Poor")</f>
        <v>Good</v>
      </c>
      <c r="U343" s="9">
        <f t="shared" si="17"/>
        <v>4.6903744880560434E-4</v>
      </c>
      <c r="V343" s="7" t="str" cm="1">
        <f t="array" ref="V343">_xlfn.IFS(HOUR(L342)&lt;12,"Morning",HOUR(L342)&lt;17,"Afternoon",HOUR(L342)&lt;21,"Evening",TRUE,"Night")</f>
        <v>Evening</v>
      </c>
    </row>
    <row r="344" spans="1:22" x14ac:dyDescent="0.3">
      <c r="A344" t="s">
        <v>433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  <c r="R344" s="5" t="str">
        <f t="shared" si="15"/>
        <v>Low Sale</v>
      </c>
      <c r="S344" s="7">
        <f t="shared" si="16"/>
        <v>4.7619047619047628</v>
      </c>
      <c r="T344" s="7" t="str" cm="1">
        <f t="array" ref="T344">_xlfn.IFS(Q343&gt;=8,"Excellent",Q343&gt;=6,"Good",Q343&gt;=4,"Average",TRUE,"Poor")</f>
        <v>Excellent</v>
      </c>
      <c r="U344" s="9">
        <f t="shared" si="17"/>
        <v>1.2737518684934341E-3</v>
      </c>
      <c r="V344" s="7" t="str" cm="1">
        <f t="array" ref="V344">_xlfn.IFS(HOUR(L343)&lt;12,"Morning",HOUR(L343)&lt;17,"Afternoon",HOUR(L343)&lt;21,"Evening",TRUE,"Night")</f>
        <v>Evening</v>
      </c>
    </row>
    <row r="345" spans="1:22" x14ac:dyDescent="0.3">
      <c r="A345" t="s">
        <v>434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243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  <c r="R345" s="5" t="str">
        <f t="shared" si="15"/>
        <v>Medium Sale</v>
      </c>
      <c r="S345" s="7">
        <f t="shared" si="16"/>
        <v>4.7619047619047619</v>
      </c>
      <c r="T345" s="7" t="str" cm="1">
        <f t="array" ref="T345">_xlfn.IFS(Q344&gt;=8,"Excellent",Q344&gt;=6,"Good",Q344&gt;=4,"Average",TRUE,"Poor")</f>
        <v>Good</v>
      </c>
      <c r="U345" s="9">
        <f t="shared" si="17"/>
        <v>1.7500718007351275E-3</v>
      </c>
      <c r="V345" s="7" t="str" cm="1">
        <f t="array" ref="V345">_xlfn.IFS(HOUR(L344)&lt;12,"Morning",HOUR(L344)&lt;17,"Afternoon",HOUR(L344)&lt;21,"Evening",TRUE,"Night")</f>
        <v>Evening</v>
      </c>
    </row>
    <row r="346" spans="1:22" x14ac:dyDescent="0.3">
      <c r="A346" t="s">
        <v>435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  <c r="R346" s="5" t="str">
        <f t="shared" si="15"/>
        <v>Medium Sale</v>
      </c>
      <c r="S346" s="7">
        <f t="shared" si="16"/>
        <v>4.7619047619047619</v>
      </c>
      <c r="T346" s="7" t="str" cm="1">
        <f t="array" ref="T346">_xlfn.IFS(Q345&gt;=8,"Excellent",Q345&gt;=6,"Good",Q345&gt;=4,"Average",TRUE,"Poor")</f>
        <v>Excellent</v>
      </c>
      <c r="U346" s="9">
        <f t="shared" si="17"/>
        <v>1.5772753745618559E-3</v>
      </c>
      <c r="V346" s="7" t="str" cm="1">
        <f t="array" ref="V346">_xlfn.IFS(HOUR(L345)&lt;12,"Morning",HOUR(L345)&lt;17,"Afternoon",HOUR(L345)&lt;21,"Evening",TRUE,"Night")</f>
        <v>Afternoon</v>
      </c>
    </row>
    <row r="347" spans="1:22" x14ac:dyDescent="0.3">
      <c r="A347" t="s">
        <v>436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  <c r="R347" s="5" t="str">
        <f t="shared" si="15"/>
        <v>Low Sale</v>
      </c>
      <c r="S347" s="7">
        <f t="shared" si="16"/>
        <v>4.7619047619047619</v>
      </c>
      <c r="T347" s="7" t="str" cm="1">
        <f t="array" ref="T347">_xlfn.IFS(Q346&gt;=8,"Excellent",Q346&gt;=6,"Good",Q346&gt;=4,"Average",TRUE,"Poor")</f>
        <v>Good</v>
      </c>
      <c r="U347" s="9">
        <f t="shared" si="17"/>
        <v>4.3548600726076595E-4</v>
      </c>
      <c r="V347" s="7" t="str" cm="1">
        <f t="array" ref="V347">_xlfn.IFS(HOUR(L346)&lt;12,"Morning",HOUR(L346)&lt;17,"Afternoon",HOUR(L346)&lt;21,"Evening",TRUE,"Night")</f>
        <v>Afternoon</v>
      </c>
    </row>
    <row r="348" spans="1:22" x14ac:dyDescent="0.3">
      <c r="A348" t="s">
        <v>437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  <c r="R348" s="5" t="str">
        <f t="shared" si="15"/>
        <v>Medium Sale</v>
      </c>
      <c r="S348" s="7">
        <f t="shared" si="16"/>
        <v>4.7619047619047628</v>
      </c>
      <c r="T348" s="7" t="str" cm="1">
        <f t="array" ref="T348">_xlfn.IFS(Q347&gt;=8,"Excellent",Q347&gt;=6,"Good",Q347&gt;=4,"Average",TRUE,"Poor")</f>
        <v>Good</v>
      </c>
      <c r="U348" s="9">
        <f t="shared" si="17"/>
        <v>2.2802300926650495E-3</v>
      </c>
      <c r="V348" s="7" t="str" cm="1">
        <f t="array" ref="V348">_xlfn.IFS(HOUR(L347)&lt;12,"Morning",HOUR(L347)&lt;17,"Afternoon",HOUR(L347)&lt;21,"Evening",TRUE,"Night")</f>
        <v>Afternoon</v>
      </c>
    </row>
    <row r="349" spans="1:22" x14ac:dyDescent="0.3">
      <c r="A349" t="s">
        <v>438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  <c r="R349" s="5" t="str">
        <f t="shared" si="15"/>
        <v>Low Sale</v>
      </c>
      <c r="S349" s="7">
        <f t="shared" si="16"/>
        <v>4.7619047619047628</v>
      </c>
      <c r="T349" s="7" t="str" cm="1">
        <f t="array" ref="T349">_xlfn.IFS(Q348&gt;=8,"Excellent",Q348&gt;=6,"Good",Q348&gt;=4,"Average",TRUE,"Poor")</f>
        <v>Good</v>
      </c>
      <c r="U349" s="9">
        <f t="shared" si="17"/>
        <v>2.3391726929758945E-4</v>
      </c>
      <c r="V349" s="7" t="str" cm="1">
        <f t="array" ref="V349">_xlfn.IFS(HOUR(L348)&lt;12,"Morning",HOUR(L348)&lt;17,"Afternoon",HOUR(L348)&lt;21,"Evening",TRUE,"Night")</f>
        <v>Afternoon</v>
      </c>
    </row>
    <row r="350" spans="1:22" x14ac:dyDescent="0.3">
      <c r="A350" t="s">
        <v>439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5" t="str">
        <f t="shared" si="15"/>
        <v>Medium Sale</v>
      </c>
      <c r="S350" s="7">
        <f t="shared" si="16"/>
        <v>4.7619047619047628</v>
      </c>
      <c r="T350" s="7" t="str" cm="1">
        <f t="array" ref="T350">_xlfn.IFS(Q349&gt;=8,"Excellent",Q349&gt;=6,"Good",Q349&gt;=4,"Average",TRUE,"Poor")</f>
        <v>Average</v>
      </c>
      <c r="U350" s="9">
        <f t="shared" si="17"/>
        <v>2.3212915952533549E-3</v>
      </c>
      <c r="V350" s="7" t="str" cm="1">
        <f t="array" ref="V350">_xlfn.IFS(HOUR(L349)&lt;12,"Morning",HOUR(L349)&lt;17,"Afternoon",HOUR(L349)&lt;21,"Evening",TRUE,"Night")</f>
        <v>Morning</v>
      </c>
    </row>
    <row r="351" spans="1:22" x14ac:dyDescent="0.3">
      <c r="A351" t="s">
        <v>440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  <c r="R351" s="5" t="str">
        <f t="shared" si="15"/>
        <v>Low Sale</v>
      </c>
      <c r="S351" s="7">
        <f t="shared" si="16"/>
        <v>4.761904761904761</v>
      </c>
      <c r="T351" s="7" t="str" cm="1">
        <f t="array" ref="T351">_xlfn.IFS(Q350&gt;=8,"Excellent",Q350&gt;=6,"Good",Q350&gt;=4,"Average",TRUE,"Poor")</f>
        <v>Average</v>
      </c>
      <c r="U351" s="9">
        <f t="shared" si="17"/>
        <v>5.9215693439698333E-4</v>
      </c>
      <c r="V351" s="7" t="str" cm="1">
        <f t="array" ref="V351">_xlfn.IFS(HOUR(L350)&lt;12,"Morning",HOUR(L350)&lt;17,"Afternoon",HOUR(L350)&lt;21,"Evening",TRUE,"Night")</f>
        <v>Evening</v>
      </c>
    </row>
    <row r="352" spans="1:22" x14ac:dyDescent="0.3">
      <c r="A352" t="s">
        <v>441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  <c r="R352" s="5" t="str">
        <f t="shared" si="15"/>
        <v>Low Sale</v>
      </c>
      <c r="S352" s="7">
        <f t="shared" si="16"/>
        <v>4.7619047619047619</v>
      </c>
      <c r="T352" s="7" t="str" cm="1">
        <f t="array" ref="T352">_xlfn.IFS(Q351&gt;=8,"Excellent",Q351&gt;=6,"Good",Q351&gt;=4,"Average",TRUE,"Poor")</f>
        <v>Average</v>
      </c>
      <c r="U352" s="9">
        <f t="shared" si="17"/>
        <v>4.3889967137143265E-4</v>
      </c>
      <c r="V352" s="7" t="str" cm="1">
        <f t="array" ref="V352">_xlfn.IFS(HOUR(L351)&lt;12,"Morning",HOUR(L351)&lt;17,"Afternoon",HOUR(L351)&lt;21,"Evening",TRUE,"Night")</f>
        <v>Morning</v>
      </c>
    </row>
    <row r="353" spans="1:22" x14ac:dyDescent="0.3">
      <c r="A353" t="s">
        <v>442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  <c r="R353" s="5" t="str">
        <f t="shared" si="15"/>
        <v>High Sale</v>
      </c>
      <c r="S353" s="7">
        <f t="shared" si="16"/>
        <v>4.7619047619047619</v>
      </c>
      <c r="T353" s="7" t="str" cm="1">
        <f t="array" ref="T353">_xlfn.IFS(Q352&gt;=8,"Excellent",Q352&gt;=6,"Good",Q352&gt;=4,"Average",TRUE,"Poor")</f>
        <v>Good</v>
      </c>
      <c r="U353" s="9">
        <f t="shared" si="17"/>
        <v>3.2283509160876494E-3</v>
      </c>
      <c r="V353" s="7" t="str" cm="1">
        <f t="array" ref="V353">_xlfn.IFS(HOUR(L352)&lt;12,"Morning",HOUR(L352)&lt;17,"Afternoon",HOUR(L352)&lt;21,"Evening",TRUE,"Night")</f>
        <v>Afternoon</v>
      </c>
    </row>
    <row r="354" spans="1:22" x14ac:dyDescent="0.3">
      <c r="A354" t="s">
        <v>443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357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  <c r="R354" s="5" t="str">
        <f t="shared" si="15"/>
        <v>Low Sale</v>
      </c>
      <c r="S354" s="7">
        <f t="shared" si="16"/>
        <v>4.7619047619047628</v>
      </c>
      <c r="T354" s="7" t="str" cm="1">
        <f t="array" ref="T354">_xlfn.IFS(Q353&gt;=8,"Excellent",Q353&gt;=6,"Good",Q353&gt;=4,"Average",TRUE,"Poor")</f>
        <v>Average</v>
      </c>
      <c r="U354" s="9">
        <f t="shared" si="17"/>
        <v>1.1763486525357442E-3</v>
      </c>
      <c r="V354" s="7" t="str" cm="1">
        <f t="array" ref="V354">_xlfn.IFS(HOUR(L353)&lt;12,"Morning",HOUR(L353)&lt;17,"Afternoon",HOUR(L353)&lt;21,"Evening",TRUE,"Night")</f>
        <v>Evening</v>
      </c>
    </row>
    <row r="355" spans="1:22" x14ac:dyDescent="0.3">
      <c r="A355" t="s">
        <v>444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  <c r="R355" s="5" t="str">
        <f t="shared" si="15"/>
        <v>Low Sale</v>
      </c>
      <c r="S355" s="7">
        <f t="shared" si="16"/>
        <v>4.7619047619047628</v>
      </c>
      <c r="T355" s="7" t="str" cm="1">
        <f t="array" ref="T355">_xlfn.IFS(Q354&gt;=8,"Excellent",Q354&gt;=6,"Good",Q354&gt;=4,"Average",TRUE,"Poor")</f>
        <v>Excellent</v>
      </c>
      <c r="U355" s="9">
        <f t="shared" si="17"/>
        <v>1.2455322451785892E-3</v>
      </c>
      <c r="V355" s="7" t="str" cm="1">
        <f t="array" ref="V355">_xlfn.IFS(HOUR(L354)&lt;12,"Morning",HOUR(L354)&lt;17,"Afternoon",HOUR(L354)&lt;21,"Evening",TRUE,"Night")</f>
        <v>Evening</v>
      </c>
    </row>
    <row r="356" spans="1:22" x14ac:dyDescent="0.3">
      <c r="A356" t="s">
        <v>445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  <c r="R356" s="5" t="str">
        <f t="shared" si="15"/>
        <v>Low Sale</v>
      </c>
      <c r="S356" s="7">
        <f t="shared" si="16"/>
        <v>4.7619047619047619</v>
      </c>
      <c r="T356" s="7" t="str" cm="1">
        <f t="array" ref="T356">_xlfn.IFS(Q355&gt;=8,"Excellent",Q355&gt;=6,"Good",Q355&gt;=4,"Average",TRUE,"Poor")</f>
        <v>Average</v>
      </c>
      <c r="U356" s="9">
        <f t="shared" si="17"/>
        <v>7.9001940846857872E-4</v>
      </c>
      <c r="V356" s="7" t="str" cm="1">
        <f t="array" ref="V356">_xlfn.IFS(HOUR(L355)&lt;12,"Morning",HOUR(L355)&lt;17,"Afternoon",HOUR(L355)&lt;21,"Evening",TRUE,"Night")</f>
        <v>Afternoon</v>
      </c>
    </row>
    <row r="357" spans="1:22" x14ac:dyDescent="0.3">
      <c r="A357" t="s">
        <v>446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  <c r="R357" s="5" t="str">
        <f t="shared" si="15"/>
        <v>Low Sale</v>
      </c>
      <c r="S357" s="7">
        <f t="shared" si="16"/>
        <v>4.7619047619047628</v>
      </c>
      <c r="T357" s="7" t="str" cm="1">
        <f t="array" ref="T357">_xlfn.IFS(Q356&gt;=8,"Excellent",Q356&gt;=6,"Good",Q356&gt;=4,"Average",TRUE,"Poor")</f>
        <v>Excellent</v>
      </c>
      <c r="U357" s="9">
        <f t="shared" si="17"/>
        <v>9.8313526387200909E-5</v>
      </c>
      <c r="V357" s="7" t="str" cm="1">
        <f t="array" ref="V357">_xlfn.IFS(HOUR(L356)&lt;12,"Morning",HOUR(L356)&lt;17,"Afternoon",HOUR(L356)&lt;21,"Evening",TRUE,"Night")</f>
        <v>Afternoon</v>
      </c>
    </row>
    <row r="358" spans="1:22" x14ac:dyDescent="0.3">
      <c r="A358" t="s">
        <v>447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5" t="str">
        <f t="shared" si="15"/>
        <v>Low Sale</v>
      </c>
      <c r="S358" s="7">
        <f t="shared" si="16"/>
        <v>4.7619047619047628</v>
      </c>
      <c r="T358" s="7" t="str" cm="1">
        <f t="array" ref="T358">_xlfn.IFS(Q357&gt;=8,"Excellent",Q357&gt;=6,"Good",Q357&gt;=4,"Average",TRUE,"Poor")</f>
        <v>Good</v>
      </c>
      <c r="U358" s="9">
        <f t="shared" si="17"/>
        <v>1.1592153098088742E-3</v>
      </c>
      <c r="V358" s="7" t="str" cm="1">
        <f t="array" ref="V358">_xlfn.IFS(HOUR(L357)&lt;12,"Morning",HOUR(L357)&lt;17,"Afternoon",HOUR(L357)&lt;21,"Evening",TRUE,"Night")</f>
        <v>Afternoon</v>
      </c>
    </row>
    <row r="359" spans="1:22" x14ac:dyDescent="0.3">
      <c r="A359" t="s">
        <v>448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  <c r="R359" s="5" t="str">
        <f t="shared" si="15"/>
        <v>Low Sale</v>
      </c>
      <c r="S359" s="7">
        <f t="shared" si="16"/>
        <v>4.7619047619047619</v>
      </c>
      <c r="T359" s="7" t="str" cm="1">
        <f t="array" ref="T359">_xlfn.IFS(Q358&gt;=8,"Excellent",Q358&gt;=6,"Good",Q358&gt;=4,"Average",TRUE,"Poor")</f>
        <v>Excellent</v>
      </c>
      <c r="U359" s="9">
        <f t="shared" si="17"/>
        <v>1.2207913081479478E-3</v>
      </c>
      <c r="V359" s="7" t="str" cm="1">
        <f t="array" ref="V359">_xlfn.IFS(HOUR(L358)&lt;12,"Morning",HOUR(L358)&lt;17,"Afternoon",HOUR(L358)&lt;21,"Evening",TRUE,"Night")</f>
        <v>Evening</v>
      </c>
    </row>
    <row r="360" spans="1:22" x14ac:dyDescent="0.3">
      <c r="A360" t="s">
        <v>449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  <c r="R360" s="5" t="str">
        <f t="shared" si="15"/>
        <v>High Sale</v>
      </c>
      <c r="S360" s="7">
        <f t="shared" si="16"/>
        <v>4.7619047619047619</v>
      </c>
      <c r="T360" s="7" t="str" cm="1">
        <f t="array" ref="T360">_xlfn.IFS(Q359&gt;=8,"Excellent",Q359&gt;=6,"Good",Q359&gt;=4,"Average",TRUE,"Poor")</f>
        <v>Average</v>
      </c>
      <c r="U360" s="9">
        <f t="shared" si="17"/>
        <v>3.1028581211621875E-3</v>
      </c>
      <c r="V360" s="7" t="str" cm="1">
        <f t="array" ref="V360">_xlfn.IFS(HOUR(L359)&lt;12,"Morning",HOUR(L359)&lt;17,"Afternoon",HOUR(L359)&lt;21,"Evening",TRUE,"Night")</f>
        <v>Afternoon</v>
      </c>
    </row>
    <row r="361" spans="1:22" x14ac:dyDescent="0.3">
      <c r="A361" t="s">
        <v>450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  <c r="R361" s="5" t="str">
        <f t="shared" si="15"/>
        <v>Low Sale</v>
      </c>
      <c r="S361" s="7">
        <f t="shared" si="16"/>
        <v>4.7619047619047619</v>
      </c>
      <c r="T361" s="7" t="str" cm="1">
        <f t="array" ref="T361">_xlfn.IFS(Q360&gt;=8,"Excellent",Q360&gt;=6,"Good",Q360&gt;=4,"Average",TRUE,"Poor")</f>
        <v>Good</v>
      </c>
      <c r="U361" s="9">
        <f t="shared" si="17"/>
        <v>2.6821646583809775E-4</v>
      </c>
      <c r="V361" s="7" t="str" cm="1">
        <f t="array" ref="V361">_xlfn.IFS(HOUR(L360)&lt;12,"Morning",HOUR(L360)&lt;17,"Afternoon",HOUR(L360)&lt;21,"Evening",TRUE,"Night")</f>
        <v>Afternoon</v>
      </c>
    </row>
    <row r="362" spans="1:22" x14ac:dyDescent="0.3">
      <c r="A362" t="s">
        <v>451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  <c r="R362" s="5" t="str">
        <f t="shared" si="15"/>
        <v>Low Sale</v>
      </c>
      <c r="S362" s="7">
        <f t="shared" si="16"/>
        <v>4.7619047619047619</v>
      </c>
      <c r="T362" s="7" t="str" cm="1">
        <f t="array" ref="T362">_xlfn.IFS(Q361&gt;=8,"Excellent",Q361&gt;=6,"Good",Q361&gt;=4,"Average",TRUE,"Poor")</f>
        <v>Average</v>
      </c>
      <c r="U362" s="9">
        <f t="shared" si="17"/>
        <v>2.4373561750160228E-4</v>
      </c>
      <c r="V362" s="7" t="str" cm="1">
        <f t="array" ref="V362">_xlfn.IFS(HOUR(L361)&lt;12,"Morning",HOUR(L361)&lt;17,"Afternoon",HOUR(L361)&lt;21,"Evening",TRUE,"Night")</f>
        <v>Afternoon</v>
      </c>
    </row>
    <row r="363" spans="1:22" x14ac:dyDescent="0.3">
      <c r="A363" t="s">
        <v>452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  <c r="R363" s="5" t="str">
        <f t="shared" si="15"/>
        <v>Medium Sale</v>
      </c>
      <c r="S363" s="7">
        <f t="shared" si="16"/>
        <v>4.7619047619047628</v>
      </c>
      <c r="T363" s="7" t="str" cm="1">
        <f t="array" ref="T363">_xlfn.IFS(Q362&gt;=8,"Excellent",Q362&gt;=6,"Good",Q362&gt;=4,"Average",TRUE,"Poor")</f>
        <v>Good</v>
      </c>
      <c r="U363" s="9">
        <f t="shared" si="17"/>
        <v>2.1056780678062924E-3</v>
      </c>
      <c r="V363" s="7" t="str" cm="1">
        <f t="array" ref="V363">_xlfn.IFS(HOUR(L362)&lt;12,"Morning",HOUR(L362)&lt;17,"Afternoon",HOUR(L362)&lt;21,"Evening",TRUE,"Night")</f>
        <v>Morning</v>
      </c>
    </row>
    <row r="364" spans="1:22" x14ac:dyDescent="0.3">
      <c r="A364" t="s">
        <v>453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  <c r="R364" s="5" t="str">
        <f t="shared" si="15"/>
        <v>Medium Sale</v>
      </c>
      <c r="S364" s="7">
        <f t="shared" si="16"/>
        <v>4.7619047619047619</v>
      </c>
      <c r="T364" s="7" t="str" cm="1">
        <f t="array" ref="T364">_xlfn.IFS(Q363&gt;=8,"Excellent",Q363&gt;=6,"Good",Q363&gt;=4,"Average",TRUE,"Poor")</f>
        <v>Excellent</v>
      </c>
      <c r="U364" s="9">
        <f t="shared" si="17"/>
        <v>2.4570578935975847E-3</v>
      </c>
      <c r="V364" s="7" t="str" cm="1">
        <f t="array" ref="V364">_xlfn.IFS(HOUR(L363)&lt;12,"Morning",HOUR(L363)&lt;17,"Afternoon",HOUR(L363)&lt;21,"Evening",TRUE,"Night")</f>
        <v>Afternoon</v>
      </c>
    </row>
    <row r="365" spans="1:22" x14ac:dyDescent="0.3">
      <c r="A365" t="s">
        <v>454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  <c r="R365" s="5" t="str">
        <f t="shared" si="15"/>
        <v>Low Sale</v>
      </c>
      <c r="S365" s="7">
        <f t="shared" si="16"/>
        <v>4.7619047619047619</v>
      </c>
      <c r="T365" s="7" t="str" cm="1">
        <f t="array" ref="T365">_xlfn.IFS(Q364&gt;=8,"Excellent",Q364&gt;=6,"Good",Q364&gt;=4,"Average",TRUE,"Poor")</f>
        <v>Excellent</v>
      </c>
      <c r="U365" s="9">
        <f t="shared" si="17"/>
        <v>6.4885626972081866E-4</v>
      </c>
      <c r="V365" s="7" t="str" cm="1">
        <f t="array" ref="V365">_xlfn.IFS(HOUR(L364)&lt;12,"Morning",HOUR(L364)&lt;17,"Afternoon",HOUR(L364)&lt;21,"Evening",TRUE,"Night")</f>
        <v>Evening</v>
      </c>
    </row>
    <row r="366" spans="1:22" x14ac:dyDescent="0.3">
      <c r="A366" t="s">
        <v>455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456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  <c r="R366" s="5" t="str">
        <f t="shared" si="15"/>
        <v>Low Sale</v>
      </c>
      <c r="S366" s="7">
        <f t="shared" si="16"/>
        <v>4.7619047619047628</v>
      </c>
      <c r="T366" s="7" t="str" cm="1">
        <f t="array" ref="T366">_xlfn.IFS(Q365&gt;=8,"Excellent",Q365&gt;=6,"Good",Q365&gt;=4,"Average",TRUE,"Poor")</f>
        <v>Good</v>
      </c>
      <c r="U366" s="9">
        <f t="shared" si="17"/>
        <v>1.4282770639029467E-3</v>
      </c>
      <c r="V366" s="7" t="str" cm="1">
        <f t="array" ref="V366">_xlfn.IFS(HOUR(L365)&lt;12,"Morning",HOUR(L365)&lt;17,"Afternoon",HOUR(L365)&lt;21,"Evening",TRUE,"Night")</f>
        <v>Evening</v>
      </c>
    </row>
    <row r="367" spans="1:22" x14ac:dyDescent="0.3">
      <c r="A367" t="s">
        <v>457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  <c r="R367" s="5" t="str">
        <f t="shared" si="15"/>
        <v>Low Sale</v>
      </c>
      <c r="S367" s="7">
        <f t="shared" si="16"/>
        <v>4.7619047619047619</v>
      </c>
      <c r="T367" s="7" t="str" cm="1">
        <f t="array" ref="T367">_xlfn.IFS(Q366&gt;=8,"Excellent",Q366&gt;=6,"Good",Q366&gt;=4,"Average",TRUE,"Poor")</f>
        <v>Good</v>
      </c>
      <c r="U367" s="9">
        <f t="shared" si="17"/>
        <v>5.363028873291224E-4</v>
      </c>
      <c r="V367" s="7" t="str" cm="1">
        <f t="array" ref="V367">_xlfn.IFS(HOUR(L366)&lt;12,"Morning",HOUR(L366)&lt;17,"Afternoon",HOUR(L366)&lt;21,"Evening",TRUE,"Night")</f>
        <v>Afternoon</v>
      </c>
    </row>
    <row r="368" spans="1:22" x14ac:dyDescent="0.3">
      <c r="A368" t="s">
        <v>458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357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  <c r="R368" s="5" t="str">
        <f t="shared" si="15"/>
        <v>Low Sale</v>
      </c>
      <c r="S368" s="7">
        <f t="shared" si="16"/>
        <v>4.7619047619047619</v>
      </c>
      <c r="T368" s="7" t="str" cm="1">
        <f t="array" ref="T368">_xlfn.IFS(Q367&gt;=8,"Excellent",Q367&gt;=6,"Good",Q367&gt;=4,"Average",TRUE,"Poor")</f>
        <v>Excellent</v>
      </c>
      <c r="U368" s="9">
        <f t="shared" si="17"/>
        <v>1.0622022268924035E-3</v>
      </c>
      <c r="V368" s="7" t="str" cm="1">
        <f t="array" ref="V368">_xlfn.IFS(HOUR(L367)&lt;12,"Morning",HOUR(L367)&lt;17,"Afternoon",HOUR(L367)&lt;21,"Evening",TRUE,"Night")</f>
        <v>Afternoon</v>
      </c>
    </row>
    <row r="369" spans="1:22" x14ac:dyDescent="0.3">
      <c r="A369" t="s">
        <v>459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  <c r="R369" s="5" t="str">
        <f t="shared" si="15"/>
        <v>Low Sale</v>
      </c>
      <c r="S369" s="7">
        <f t="shared" si="16"/>
        <v>4.7619047619047628</v>
      </c>
      <c r="T369" s="7" t="str" cm="1">
        <f t="array" ref="T369">_xlfn.IFS(Q368&gt;=8,"Excellent",Q368&gt;=6,"Good",Q368&gt;=4,"Average",TRUE,"Poor")</f>
        <v>Average</v>
      </c>
      <c r="U369" s="9">
        <f t="shared" si="17"/>
        <v>1.5016220756521282E-3</v>
      </c>
      <c r="V369" s="7" t="str" cm="1">
        <f t="array" ref="V369">_xlfn.IFS(HOUR(L368)&lt;12,"Morning",HOUR(L368)&lt;17,"Afternoon",HOUR(L368)&lt;21,"Evening",TRUE,"Night")</f>
        <v>Evening</v>
      </c>
    </row>
    <row r="370" spans="1:22" x14ac:dyDescent="0.3">
      <c r="A370" t="s">
        <v>460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  <c r="R370" s="5" t="str">
        <f t="shared" si="15"/>
        <v>Low Sale</v>
      </c>
      <c r="S370" s="7">
        <f t="shared" si="16"/>
        <v>4.7619047619047628</v>
      </c>
      <c r="T370" s="7" t="str" cm="1">
        <f t="array" ref="T370">_xlfn.IFS(Q369&gt;=8,"Excellent",Q369&gt;=6,"Good",Q369&gt;=4,"Average",TRUE,"Poor")</f>
        <v>Good</v>
      </c>
      <c r="U370" s="9">
        <f t="shared" si="17"/>
        <v>8.5751242459947456E-4</v>
      </c>
      <c r="V370" s="7" t="str" cm="1">
        <f t="array" ref="V370">_xlfn.IFS(HOUR(L369)&lt;12,"Morning",HOUR(L369)&lt;17,"Afternoon",HOUR(L369)&lt;21,"Evening",TRUE,"Night")</f>
        <v>Morning</v>
      </c>
    </row>
    <row r="371" spans="1:22" x14ac:dyDescent="0.3">
      <c r="A371" t="s">
        <v>461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  <c r="R371" s="5" t="str">
        <f t="shared" si="15"/>
        <v>Low Sale</v>
      </c>
      <c r="S371" s="7">
        <f t="shared" si="16"/>
        <v>4.7619047619047619</v>
      </c>
      <c r="T371" s="7" t="str" cm="1">
        <f t="array" ref="T371">_xlfn.IFS(Q370&gt;=8,"Excellent",Q370&gt;=6,"Good",Q370&gt;=4,"Average",TRUE,"Poor")</f>
        <v>Average</v>
      </c>
      <c r="U371" s="9">
        <f t="shared" si="17"/>
        <v>4.6685920599213131E-4</v>
      </c>
      <c r="V371" s="7" t="str" cm="1">
        <f t="array" ref="V371">_xlfn.IFS(HOUR(L370)&lt;12,"Morning",HOUR(L370)&lt;17,"Afternoon",HOUR(L370)&lt;21,"Evening",TRUE,"Night")</f>
        <v>Afternoon</v>
      </c>
    </row>
    <row r="372" spans="1:22" x14ac:dyDescent="0.3">
      <c r="A372" t="s">
        <v>462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  <c r="R372" s="5" t="str">
        <f t="shared" si="15"/>
        <v>Low Sale</v>
      </c>
      <c r="S372" s="7">
        <f t="shared" si="16"/>
        <v>4.7619047619047628</v>
      </c>
      <c r="T372" s="7" t="str" cm="1">
        <f t="array" ref="T372">_xlfn.IFS(Q371&gt;=8,"Excellent",Q371&gt;=6,"Good",Q371&gt;=4,"Average",TRUE,"Poor")</f>
        <v>Good</v>
      </c>
      <c r="U372" s="9">
        <f t="shared" si="17"/>
        <v>6.2908952896572018E-4</v>
      </c>
      <c r="V372" s="7" t="str" cm="1">
        <f t="array" ref="V372">_xlfn.IFS(HOUR(L371)&lt;12,"Morning",HOUR(L371)&lt;17,"Afternoon",HOUR(L371)&lt;21,"Evening",TRUE,"Night")</f>
        <v>Afternoon</v>
      </c>
    </row>
    <row r="373" spans="1:22" x14ac:dyDescent="0.3">
      <c r="A373" t="s">
        <v>463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5" t="str">
        <f t="shared" si="15"/>
        <v>Low Sale</v>
      </c>
      <c r="S373" s="7">
        <f t="shared" si="16"/>
        <v>4.7619047619047628</v>
      </c>
      <c r="T373" s="7" t="str" cm="1">
        <f t="array" ref="T373">_xlfn.IFS(Q372&gt;=8,"Excellent",Q372&gt;=6,"Good",Q372&gt;=4,"Average",TRUE,"Poor")</f>
        <v>Excellent</v>
      </c>
      <c r="U373" s="9">
        <f t="shared" si="17"/>
        <v>5.9761879697404997E-4</v>
      </c>
      <c r="V373" s="7" t="str" cm="1">
        <f t="array" ref="V373">_xlfn.IFS(HOUR(L372)&lt;12,"Morning",HOUR(L372)&lt;17,"Afternoon",HOUR(L372)&lt;21,"Evening",TRUE,"Night")</f>
        <v>Evening</v>
      </c>
    </row>
    <row r="374" spans="1:22" x14ac:dyDescent="0.3">
      <c r="A374" t="s">
        <v>464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357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  <c r="R374" s="5" t="str">
        <f t="shared" si="15"/>
        <v>Low Sale</v>
      </c>
      <c r="S374" s="7">
        <f t="shared" si="16"/>
        <v>4.7619047619047628</v>
      </c>
      <c r="T374" s="7" t="str" cm="1">
        <f t="array" ref="T374">_xlfn.IFS(Q373&gt;=8,"Excellent",Q373&gt;=6,"Good",Q373&gt;=4,"Average",TRUE,"Poor")</f>
        <v>Average</v>
      </c>
      <c r="U374" s="9">
        <f t="shared" si="17"/>
        <v>3.9637516987855602E-4</v>
      </c>
      <c r="V374" s="7" t="str" cm="1">
        <f t="array" ref="V374">_xlfn.IFS(HOUR(L373)&lt;12,"Morning",HOUR(L373)&lt;17,"Afternoon",HOUR(L373)&lt;21,"Evening",TRUE,"Night")</f>
        <v>Evening</v>
      </c>
    </row>
    <row r="375" spans="1:22" x14ac:dyDescent="0.3">
      <c r="A375" t="s">
        <v>465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  <c r="R375" s="5" t="str">
        <f t="shared" si="15"/>
        <v>Low Sale</v>
      </c>
      <c r="S375" s="7">
        <f t="shared" si="16"/>
        <v>4.7619047619047628</v>
      </c>
      <c r="T375" s="7" t="str" cm="1">
        <f t="array" ref="T375">_xlfn.IFS(Q374&gt;=8,"Excellent",Q374&gt;=6,"Good",Q374&gt;=4,"Average",TRUE,"Poor")</f>
        <v>Average</v>
      </c>
      <c r="U375" s="9">
        <f t="shared" si="17"/>
        <v>1.3676113759933841E-3</v>
      </c>
      <c r="V375" s="7" t="str" cm="1">
        <f t="array" ref="V375">_xlfn.IFS(HOUR(L374)&lt;12,"Morning",HOUR(L374)&lt;17,"Afternoon",HOUR(L374)&lt;21,"Evening",TRUE,"Night")</f>
        <v>Evening</v>
      </c>
    </row>
    <row r="376" spans="1:22" x14ac:dyDescent="0.3">
      <c r="A376" t="s">
        <v>466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  <c r="R376" s="5" t="str">
        <f t="shared" si="15"/>
        <v>Low Sale</v>
      </c>
      <c r="S376" s="7">
        <f t="shared" si="16"/>
        <v>4.7619047619047628</v>
      </c>
      <c r="T376" s="7" t="str" cm="1">
        <f t="array" ref="T376">_xlfn.IFS(Q375&gt;=8,"Excellent",Q375&gt;=6,"Good",Q375&gt;=4,"Average",TRUE,"Poor")</f>
        <v>Excellent</v>
      </c>
      <c r="U376" s="9">
        <f t="shared" si="17"/>
        <v>8.2083991872488379E-4</v>
      </c>
      <c r="V376" s="7" t="str" cm="1">
        <f t="array" ref="V376">_xlfn.IFS(HOUR(L375)&lt;12,"Morning",HOUR(L375)&lt;17,"Afternoon",HOUR(L375)&lt;21,"Evening",TRUE,"Night")</f>
        <v>Afternoon</v>
      </c>
    </row>
    <row r="377" spans="1:22" x14ac:dyDescent="0.3">
      <c r="A377" t="s">
        <v>467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286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  <c r="R377" s="5" t="str">
        <f t="shared" si="15"/>
        <v>Low Sale</v>
      </c>
      <c r="S377" s="7">
        <f t="shared" si="16"/>
        <v>4.7619047619047619</v>
      </c>
      <c r="T377" s="7" t="str" cm="1">
        <f t="array" ref="T377">_xlfn.IFS(Q376&gt;=8,"Excellent",Q376&gt;=6,"Good",Q376&gt;=4,"Average",TRUE,"Poor")</f>
        <v>Excellent</v>
      </c>
      <c r="U377" s="9">
        <f t="shared" si="17"/>
        <v>1.0905844056410896E-3</v>
      </c>
      <c r="V377" s="7" t="str" cm="1">
        <f t="array" ref="V377">_xlfn.IFS(HOUR(L376)&lt;12,"Morning",HOUR(L376)&lt;17,"Afternoon",HOUR(L376)&lt;21,"Evening",TRUE,"Night")</f>
        <v>Afternoon</v>
      </c>
    </row>
    <row r="378" spans="1:22" x14ac:dyDescent="0.3">
      <c r="A378" t="s">
        <v>468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  <c r="R378" s="5" t="str">
        <f t="shared" si="15"/>
        <v>Medium Sale</v>
      </c>
      <c r="S378" s="7">
        <f t="shared" si="16"/>
        <v>4.7619047619047619</v>
      </c>
      <c r="T378" s="7" t="str" cm="1">
        <f t="array" ref="T378">_xlfn.IFS(Q377&gt;=8,"Excellent",Q377&gt;=6,"Good",Q377&gt;=4,"Average",TRUE,"Poor")</f>
        <v>Good</v>
      </c>
      <c r="U378" s="9">
        <f t="shared" si="17"/>
        <v>1.571911045245094E-3</v>
      </c>
      <c r="V378" s="7" t="str" cm="1">
        <f t="array" ref="V378">_xlfn.IFS(HOUR(L377)&lt;12,"Morning",HOUR(L377)&lt;17,"Afternoon",HOUR(L377)&lt;21,"Evening",TRUE,"Night")</f>
        <v>Afternoon</v>
      </c>
    </row>
    <row r="379" spans="1:22" x14ac:dyDescent="0.3">
      <c r="A379" t="s">
        <v>469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5" t="str">
        <f t="shared" si="15"/>
        <v>Low Sale</v>
      </c>
      <c r="S379" s="7">
        <f t="shared" si="16"/>
        <v>4.7619047619047619</v>
      </c>
      <c r="T379" s="7" t="str" cm="1">
        <f t="array" ref="T379">_xlfn.IFS(Q378&gt;=8,"Excellent",Q378&gt;=6,"Good",Q378&gt;=4,"Average",TRUE,"Poor")</f>
        <v>Excellent</v>
      </c>
      <c r="U379" s="9">
        <f t="shared" si="17"/>
        <v>1.0352180248747525E-3</v>
      </c>
      <c r="V379" s="7" t="str" cm="1">
        <f t="array" ref="V379">_xlfn.IFS(HOUR(L378)&lt;12,"Morning",HOUR(L378)&lt;17,"Afternoon",HOUR(L378)&lt;21,"Evening",TRUE,"Night")</f>
        <v>Evening</v>
      </c>
    </row>
    <row r="380" spans="1:22" x14ac:dyDescent="0.3">
      <c r="A380" t="s">
        <v>470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  <c r="R380" s="5" t="str">
        <f t="shared" si="15"/>
        <v>Medium Sale</v>
      </c>
      <c r="S380" s="7">
        <f t="shared" si="16"/>
        <v>4.7619047619047628</v>
      </c>
      <c r="T380" s="7" t="str" cm="1">
        <f t="array" ref="T380">_xlfn.IFS(Q379&gt;=8,"Excellent",Q379&gt;=6,"Good",Q379&gt;=4,"Average",TRUE,"Poor")</f>
        <v>Excellent</v>
      </c>
      <c r="U380" s="9">
        <f t="shared" si="17"/>
        <v>2.1731385728504201E-3</v>
      </c>
      <c r="V380" s="7" t="str" cm="1">
        <f t="array" ref="V380">_xlfn.IFS(HOUR(L379)&lt;12,"Morning",HOUR(L379)&lt;17,"Afternoon",HOUR(L379)&lt;21,"Evening",TRUE,"Night")</f>
        <v>Evening</v>
      </c>
    </row>
    <row r="381" spans="1:22" x14ac:dyDescent="0.3">
      <c r="A381" t="s">
        <v>471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243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  <c r="R381" s="5" t="str">
        <f t="shared" si="15"/>
        <v>Low Sale</v>
      </c>
      <c r="S381" s="7">
        <f t="shared" si="16"/>
        <v>4.7619047619047628</v>
      </c>
      <c r="T381" s="7" t="str" cm="1">
        <f t="array" ref="T381">_xlfn.IFS(Q380&gt;=8,"Excellent",Q380&gt;=6,"Good",Q380&gt;=4,"Average",TRUE,"Poor")</f>
        <v>Excellent</v>
      </c>
      <c r="U381" s="9">
        <f t="shared" si="17"/>
        <v>1.2611700779141194E-3</v>
      </c>
      <c r="V381" s="7" t="str" cm="1">
        <f t="array" ref="V381">_xlfn.IFS(HOUR(L380)&lt;12,"Morning",HOUR(L380)&lt;17,"Afternoon",HOUR(L380)&lt;21,"Evening",TRUE,"Night")</f>
        <v>Evening</v>
      </c>
    </row>
    <row r="382" spans="1:22" x14ac:dyDescent="0.3">
      <c r="A382" t="s">
        <v>472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  <c r="R382" s="5" t="str">
        <f t="shared" si="15"/>
        <v>Low Sale</v>
      </c>
      <c r="S382" s="7">
        <f t="shared" si="16"/>
        <v>4.7619047619047628</v>
      </c>
      <c r="T382" s="7" t="str" cm="1">
        <f t="array" ref="T382">_xlfn.IFS(Q381&gt;=8,"Excellent",Q381&gt;=6,"Good",Q381&gt;=4,"Average",TRUE,"Poor")</f>
        <v>Average</v>
      </c>
      <c r="U382" s="9">
        <f t="shared" si="17"/>
        <v>3.075548808276854E-4</v>
      </c>
      <c r="V382" s="7" t="str" cm="1">
        <f t="array" ref="V382">_xlfn.IFS(HOUR(L381)&lt;12,"Morning",HOUR(L381)&lt;17,"Afternoon",HOUR(L381)&lt;21,"Evening",TRUE,"Night")</f>
        <v>Afternoon</v>
      </c>
    </row>
    <row r="383" spans="1:22" x14ac:dyDescent="0.3">
      <c r="A383" t="s">
        <v>473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  <c r="R383" s="5" t="str">
        <f t="shared" si="15"/>
        <v>Low Sale</v>
      </c>
      <c r="S383" s="7">
        <f t="shared" si="16"/>
        <v>4.7619047619047628</v>
      </c>
      <c r="T383" s="7" t="str" cm="1">
        <f t="array" ref="T383">_xlfn.IFS(Q382&gt;=8,"Excellent",Q382&gt;=6,"Good",Q382&gt;=4,"Average",TRUE,"Poor")</f>
        <v>Good</v>
      </c>
      <c r="U383" s="9">
        <f t="shared" si="17"/>
        <v>1.0706551094521496E-3</v>
      </c>
      <c r="V383" s="7" t="str" cm="1">
        <f t="array" ref="V383">_xlfn.IFS(HOUR(L382)&lt;12,"Morning",HOUR(L382)&lt;17,"Afternoon",HOUR(L382)&lt;21,"Evening",TRUE,"Night")</f>
        <v>Morning</v>
      </c>
    </row>
    <row r="384" spans="1:22" x14ac:dyDescent="0.3">
      <c r="A384" t="s">
        <v>474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286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  <c r="R384" s="5" t="str">
        <f t="shared" si="15"/>
        <v>Low Sale</v>
      </c>
      <c r="S384" s="7">
        <f t="shared" si="16"/>
        <v>4.7619047619047619</v>
      </c>
      <c r="T384" s="7" t="str" cm="1">
        <f t="array" ref="T384">_xlfn.IFS(Q383&gt;=8,"Excellent",Q383&gt;=6,"Good",Q383&gt;=4,"Average",TRUE,"Poor")</f>
        <v>Average</v>
      </c>
      <c r="U384" s="9">
        <f t="shared" si="17"/>
        <v>1.7302400378064922E-4</v>
      </c>
      <c r="V384" s="7" t="str" cm="1">
        <f t="array" ref="V384">_xlfn.IFS(HOUR(L383)&lt;12,"Morning",HOUR(L383)&lt;17,"Afternoon",HOUR(L383)&lt;21,"Evening",TRUE,"Night")</f>
        <v>Afternoon</v>
      </c>
    </row>
    <row r="385" spans="1:22" x14ac:dyDescent="0.3">
      <c r="A385" t="s">
        <v>475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  <c r="R385" s="5" t="str">
        <f t="shared" si="15"/>
        <v>Medium Sale</v>
      </c>
      <c r="S385" s="7">
        <f t="shared" si="16"/>
        <v>4.7619047619047628</v>
      </c>
      <c r="T385" s="7" t="str" cm="1">
        <f t="array" ref="T385">_xlfn.IFS(Q384&gt;=8,"Excellent",Q384&gt;=6,"Good",Q384&gt;=4,"Average",TRUE,"Poor")</f>
        <v>Excellent</v>
      </c>
      <c r="U385" s="9">
        <f t="shared" si="17"/>
        <v>1.620515119963634E-3</v>
      </c>
      <c r="V385" s="7" t="str" cm="1">
        <f t="array" ref="V385">_xlfn.IFS(HOUR(L384)&lt;12,"Morning",HOUR(L384)&lt;17,"Afternoon",HOUR(L384)&lt;21,"Evening",TRUE,"Night")</f>
        <v>Afternoon</v>
      </c>
    </row>
    <row r="386" spans="1:22" x14ac:dyDescent="0.3">
      <c r="A386" t="s">
        <v>476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  <c r="R386" s="5" t="str">
        <f t="shared" si="15"/>
        <v>Low Sale</v>
      </c>
      <c r="S386" s="7">
        <f t="shared" si="16"/>
        <v>4.7619047619047619</v>
      </c>
      <c r="T386" s="7" t="str" cm="1">
        <f t="array" ref="T386">_xlfn.IFS(Q385&gt;=8,"Excellent",Q385&gt;=6,"Good",Q385&gt;=4,"Average",TRUE,"Poor")</f>
        <v>Average</v>
      </c>
      <c r="U386" s="9">
        <f t="shared" si="17"/>
        <v>9.7390211522982494E-4</v>
      </c>
      <c r="V386" s="7" t="str" cm="1">
        <f t="array" ref="V386">_xlfn.IFS(HOUR(L385)&lt;12,"Morning",HOUR(L385)&lt;17,"Afternoon",HOUR(L385)&lt;21,"Evening",TRUE,"Night")</f>
        <v>Afternoon</v>
      </c>
    </row>
    <row r="387" spans="1:22" x14ac:dyDescent="0.3">
      <c r="A387" t="s">
        <v>477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308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  <c r="R387" s="5" t="str">
        <f t="shared" si="15"/>
        <v>Low Sale</v>
      </c>
      <c r="S387" s="7">
        <f t="shared" si="16"/>
        <v>4.7619047619047619</v>
      </c>
      <c r="T387" s="7" t="str" cm="1">
        <f t="array" ref="T387">_xlfn.IFS(Q386&gt;=8,"Excellent",Q386&gt;=6,"Good",Q386&gt;=4,"Average",TRUE,"Poor")</f>
        <v>Excellent</v>
      </c>
      <c r="U387" s="9">
        <f t="shared" si="17"/>
        <v>6.6550194614616487E-4</v>
      </c>
      <c r="V387" s="7" t="str" cm="1">
        <f t="array" ref="V387">_xlfn.IFS(HOUR(L386)&lt;12,"Morning",HOUR(L386)&lt;17,"Afternoon",HOUR(L386)&lt;21,"Evening",TRUE,"Night")</f>
        <v>Afternoon</v>
      </c>
    </row>
    <row r="388" spans="1:22" x14ac:dyDescent="0.3">
      <c r="A388" t="s">
        <v>478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  <c r="R388" s="5" t="str">
        <f t="shared" ref="R388:R451" si="18">IF(J387&gt;=1000,"High Sale",IF(J387&gt;=500,"Medium Sale","Low Sale"))</f>
        <v>Low Sale</v>
      </c>
      <c r="S388" s="7">
        <f t="shared" ref="S388:S451" si="19">(P387/J387)*100</f>
        <v>4.7619047619047619</v>
      </c>
      <c r="T388" s="7" t="str" cm="1">
        <f t="array" ref="T388">_xlfn.IFS(Q387&gt;=8,"Excellent",Q387&gt;=6,"Good",Q387&gt;=4,"Average",TRUE,"Poor")</f>
        <v>Average</v>
      </c>
      <c r="U388" s="9">
        <f t="shared" ref="U388:U451" si="20">J387/SUM($J$2:$J$1001)</f>
        <v>2.464990598769039E-4</v>
      </c>
      <c r="V388" s="7" t="str" cm="1">
        <f t="array" ref="V388">_xlfn.IFS(HOUR(L387)&lt;12,"Morning",HOUR(L387)&lt;17,"Afternoon",HOUR(L387)&lt;21,"Evening",TRUE,"Night")</f>
        <v>Afternoon</v>
      </c>
    </row>
    <row r="389" spans="1:22" x14ac:dyDescent="0.3">
      <c r="A389" t="s">
        <v>479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  <c r="R389" s="5" t="str">
        <f t="shared" si="18"/>
        <v>Low Sale</v>
      </c>
      <c r="S389" s="7">
        <f t="shared" si="19"/>
        <v>4.7619047619047619</v>
      </c>
      <c r="T389" s="7" t="str" cm="1">
        <f t="array" ref="T389">_xlfn.IFS(Q388&gt;=8,"Excellent",Q388&gt;=6,"Good",Q388&gt;=4,"Average",TRUE,"Poor")</f>
        <v>Good</v>
      </c>
      <c r="U389" s="9">
        <f t="shared" si="20"/>
        <v>9.1232611689075129E-4</v>
      </c>
      <c r="V389" s="7" t="str" cm="1">
        <f t="array" ref="V389">_xlfn.IFS(HOUR(L388)&lt;12,"Morning",HOUR(L388)&lt;17,"Afternoon",HOUR(L388)&lt;21,"Evening",TRUE,"Night")</f>
        <v>Afternoon</v>
      </c>
    </row>
    <row r="390" spans="1:22" x14ac:dyDescent="0.3">
      <c r="A390" t="s">
        <v>480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  <c r="R390" s="5" t="str">
        <f t="shared" si="18"/>
        <v>Low Sale</v>
      </c>
      <c r="S390" s="7">
        <f t="shared" si="19"/>
        <v>4.7619047619047619</v>
      </c>
      <c r="T390" s="7" t="str" cm="1">
        <f t="array" ref="T390">_xlfn.IFS(Q389&gt;=8,"Excellent",Q389&gt;=6,"Good",Q389&gt;=4,"Average",TRUE,"Poor")</f>
        <v>Excellent</v>
      </c>
      <c r="U390" s="9">
        <f t="shared" si="20"/>
        <v>1.050758324349978E-3</v>
      </c>
      <c r="V390" s="7" t="str" cm="1">
        <f t="array" ref="V390">_xlfn.IFS(HOUR(L389)&lt;12,"Morning",HOUR(L389)&lt;17,"Afternoon",HOUR(L389)&lt;21,"Evening",TRUE,"Night")</f>
        <v>Afternoon</v>
      </c>
    </row>
    <row r="391" spans="1:22" x14ac:dyDescent="0.3">
      <c r="A391" t="s">
        <v>481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  <c r="R391" s="5" t="str">
        <f t="shared" si="18"/>
        <v>Medium Sale</v>
      </c>
      <c r="S391" s="7">
        <f t="shared" si="19"/>
        <v>4.7619047619047619</v>
      </c>
      <c r="T391" s="7" t="str" cm="1">
        <f t="array" ref="T391">_xlfn.IFS(Q390&gt;=8,"Excellent",Q390&gt;=6,"Good",Q390&gt;=4,"Average",TRUE,"Poor")</f>
        <v>Excellent</v>
      </c>
      <c r="U391" s="9">
        <f t="shared" si="20"/>
        <v>1.5820870154035576E-3</v>
      </c>
      <c r="V391" s="7" t="str" cm="1">
        <f t="array" ref="V391">_xlfn.IFS(HOUR(L390)&lt;12,"Morning",HOUR(L390)&lt;17,"Afternoon",HOUR(L390)&lt;21,"Evening",TRUE,"Night")</f>
        <v>Afternoon</v>
      </c>
    </row>
    <row r="392" spans="1:22" x14ac:dyDescent="0.3">
      <c r="A392" t="s">
        <v>482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  <c r="R392" s="5" t="str">
        <f t="shared" si="18"/>
        <v>Low Sale</v>
      </c>
      <c r="S392" s="7">
        <f t="shared" si="19"/>
        <v>4.7619047619047619</v>
      </c>
      <c r="T392" s="7" t="str" cm="1">
        <f t="array" ref="T392">_xlfn.IFS(Q391&gt;=8,"Excellent",Q391&gt;=6,"Good",Q391&gt;=4,"Average",TRUE,"Poor")</f>
        <v>Good</v>
      </c>
      <c r="U392" s="9">
        <f t="shared" si="20"/>
        <v>4.1464640064231497E-4</v>
      </c>
      <c r="V392" s="7" t="str" cm="1">
        <f t="array" ref="V392">_xlfn.IFS(HOUR(L391)&lt;12,"Morning",HOUR(L391)&lt;17,"Afternoon",HOUR(L391)&lt;21,"Evening",TRUE,"Night")</f>
        <v>Afternoon</v>
      </c>
    </row>
    <row r="393" spans="1:22" x14ac:dyDescent="0.3">
      <c r="A393" t="s">
        <v>483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5" t="str">
        <f t="shared" si="18"/>
        <v>Low Sale</v>
      </c>
      <c r="S393" s="7">
        <f t="shared" si="19"/>
        <v>4.7619047619047619</v>
      </c>
      <c r="T393" s="7" t="str" cm="1">
        <f t="array" ref="T393">_xlfn.IFS(Q392&gt;=8,"Excellent",Q392&gt;=6,"Good",Q392&gt;=4,"Average",TRUE,"Poor")</f>
        <v>Excellent</v>
      </c>
      <c r="U393" s="9">
        <f t="shared" si="20"/>
        <v>7.8494767893273103E-4</v>
      </c>
      <c r="V393" s="7" t="str" cm="1">
        <f t="array" ref="V393">_xlfn.IFS(HOUR(L392)&lt;12,"Morning",HOUR(L392)&lt;17,"Afternoon",HOUR(L392)&lt;21,"Evening",TRUE,"Night")</f>
        <v>Afternoon</v>
      </c>
    </row>
    <row r="394" spans="1:22" x14ac:dyDescent="0.3">
      <c r="A394" t="s">
        <v>484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260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  <c r="R394" s="5" t="str">
        <f t="shared" si="18"/>
        <v>Low Sale</v>
      </c>
      <c r="S394" s="7">
        <f t="shared" si="19"/>
        <v>4.7619047619047628</v>
      </c>
      <c r="T394" s="7" t="str" cm="1">
        <f t="array" ref="T394">_xlfn.IFS(Q393&gt;=8,"Excellent",Q393&gt;=6,"Good",Q393&gt;=4,"Average",TRUE,"Poor")</f>
        <v>Excellent</v>
      </c>
      <c r="U394" s="9">
        <f t="shared" si="20"/>
        <v>1.2337957428552495E-3</v>
      </c>
      <c r="V394" s="7" t="str" cm="1">
        <f t="array" ref="V394">_xlfn.IFS(HOUR(L393)&lt;12,"Morning",HOUR(L393)&lt;17,"Afternoon",HOUR(L393)&lt;21,"Evening",TRUE,"Night")</f>
        <v>Afternoon</v>
      </c>
    </row>
    <row r="395" spans="1:22" x14ac:dyDescent="0.3">
      <c r="A395" t="s">
        <v>485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  <c r="R395" s="5" t="str">
        <f t="shared" si="18"/>
        <v>Low Sale</v>
      </c>
      <c r="S395" s="7">
        <f t="shared" si="19"/>
        <v>4.7619047619047628</v>
      </c>
      <c r="T395" s="7" t="str" cm="1">
        <f t="array" ref="T395">_xlfn.IFS(Q394&gt;=8,"Excellent",Q394&gt;=6,"Good",Q394&gt;=4,"Average",TRUE,"Poor")</f>
        <v>Good</v>
      </c>
      <c r="U395" s="9">
        <f t="shared" si="20"/>
        <v>2.4975016855372932E-4</v>
      </c>
      <c r="V395" s="7" t="str" cm="1">
        <f t="array" ref="V395">_xlfn.IFS(HOUR(L394)&lt;12,"Morning",HOUR(L394)&lt;17,"Afternoon",HOUR(L394)&lt;21,"Evening",TRUE,"Night")</f>
        <v>Evening</v>
      </c>
    </row>
    <row r="396" spans="1:22" x14ac:dyDescent="0.3">
      <c r="A396" t="s">
        <v>486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  <c r="R396" s="5" t="str">
        <f t="shared" si="18"/>
        <v>Medium Sale</v>
      </c>
      <c r="S396" s="7">
        <f t="shared" si="19"/>
        <v>4.7619047619047619</v>
      </c>
      <c r="T396" s="7" t="str" cm="1">
        <f t="array" ref="T396">_xlfn.IFS(Q395&gt;=8,"Excellent",Q395&gt;=6,"Good",Q395&gt;=4,"Average",TRUE,"Poor")</f>
        <v>Good</v>
      </c>
      <c r="U396" s="9">
        <f t="shared" si="20"/>
        <v>1.6990293945089681E-3</v>
      </c>
      <c r="V396" s="7" t="str" cm="1">
        <f t="array" ref="V396">_xlfn.IFS(HOUR(L395)&lt;12,"Morning",HOUR(L395)&lt;17,"Afternoon",HOUR(L395)&lt;21,"Evening",TRUE,"Night")</f>
        <v>Afternoon</v>
      </c>
    </row>
    <row r="397" spans="1:22" x14ac:dyDescent="0.3">
      <c r="A397" t="s">
        <v>487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  <c r="R397" s="5" t="str">
        <f t="shared" si="18"/>
        <v>Low Sale</v>
      </c>
      <c r="S397" s="7">
        <f t="shared" si="19"/>
        <v>4.7619047619047619</v>
      </c>
      <c r="T397" s="7" t="str" cm="1">
        <f t="array" ref="T397">_xlfn.IFS(Q396&gt;=8,"Excellent",Q396&gt;=6,"Good",Q396&gt;=4,"Average",TRUE,"Poor")</f>
        <v>Good</v>
      </c>
      <c r="U397" s="9">
        <f t="shared" si="20"/>
        <v>2.5924340589005956E-4</v>
      </c>
      <c r="V397" s="7" t="str" cm="1">
        <f t="array" ref="V397">_xlfn.IFS(HOUR(L396)&lt;12,"Morning",HOUR(L396)&lt;17,"Afternoon",HOUR(L396)&lt;21,"Evening",TRUE,"Night")</f>
        <v>Morning</v>
      </c>
    </row>
    <row r="398" spans="1:22" x14ac:dyDescent="0.3">
      <c r="A398" t="s">
        <v>488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5" t="str">
        <f t="shared" si="18"/>
        <v>Low Sale</v>
      </c>
      <c r="S398" s="7">
        <f t="shared" si="19"/>
        <v>4.7619047619047619</v>
      </c>
      <c r="T398" s="7" t="str" cm="1">
        <f t="array" ref="T398">_xlfn.IFS(Q397&gt;=8,"Excellent",Q397&gt;=6,"Good",Q397&gt;=4,"Average",TRUE,"Poor")</f>
        <v>Average</v>
      </c>
      <c r="U398" s="9">
        <f t="shared" si="20"/>
        <v>1.2598046122698529E-3</v>
      </c>
      <c r="V398" s="7" t="str" cm="1">
        <f t="array" ref="V398">_xlfn.IFS(HOUR(L397)&lt;12,"Morning",HOUR(L397)&lt;17,"Afternoon",HOUR(L397)&lt;21,"Evening",TRUE,"Night")</f>
        <v>Evening</v>
      </c>
    </row>
    <row r="399" spans="1:22" x14ac:dyDescent="0.3">
      <c r="A399" t="s">
        <v>489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  <c r="R399" s="5" t="str">
        <f t="shared" si="18"/>
        <v>Low Sale</v>
      </c>
      <c r="S399" s="7">
        <f t="shared" si="19"/>
        <v>4.7619047619047619</v>
      </c>
      <c r="T399" s="7" t="str" cm="1">
        <f t="array" ref="T399">_xlfn.IFS(Q398&gt;=8,"Excellent",Q398&gt;=6,"Good",Q398&gt;=4,"Average",TRUE,"Poor")</f>
        <v>Average</v>
      </c>
      <c r="U399" s="9">
        <f t="shared" si="20"/>
        <v>8.821883394565796E-4</v>
      </c>
      <c r="V399" s="7" t="str" cm="1">
        <f t="array" ref="V399">_xlfn.IFS(HOUR(L398)&lt;12,"Morning",HOUR(L398)&lt;17,"Afternoon",HOUR(L398)&lt;21,"Evening",TRUE,"Night")</f>
        <v>Afternoon</v>
      </c>
    </row>
    <row r="400" spans="1:22" x14ac:dyDescent="0.3">
      <c r="A400" t="s">
        <v>490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  <c r="R400" s="5" t="str">
        <f t="shared" si="18"/>
        <v>Low Sale</v>
      </c>
      <c r="S400" s="7">
        <f t="shared" si="19"/>
        <v>4.7619047619047619</v>
      </c>
      <c r="T400" s="7" t="str" cm="1">
        <f t="array" ref="T400">_xlfn.IFS(Q399&gt;=8,"Excellent",Q399&gt;=6,"Good",Q399&gt;=4,"Average",TRUE,"Poor")</f>
        <v>Average</v>
      </c>
      <c r="U400" s="9">
        <f t="shared" si="20"/>
        <v>3.9764310226251794E-4</v>
      </c>
      <c r="V400" s="7" t="str" cm="1">
        <f t="array" ref="V400">_xlfn.IFS(HOUR(L399)&lt;12,"Morning",HOUR(L399)&lt;17,"Afternoon",HOUR(L399)&lt;21,"Evening",TRUE,"Night")</f>
        <v>Morning</v>
      </c>
    </row>
    <row r="401" spans="1:22" x14ac:dyDescent="0.3">
      <c r="A401" t="s">
        <v>491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  <c r="R401" s="5" t="str">
        <f t="shared" si="18"/>
        <v>Low Sale</v>
      </c>
      <c r="S401" s="7">
        <f t="shared" si="19"/>
        <v>4.7619047619047619</v>
      </c>
      <c r="T401" s="7" t="str" cm="1">
        <f t="array" ref="T401">_xlfn.IFS(Q400&gt;=8,"Excellent",Q400&gt;=6,"Good",Q400&gt;=4,"Average",TRUE,"Poor")</f>
        <v>Excellent</v>
      </c>
      <c r="U401" s="9">
        <f t="shared" si="20"/>
        <v>8.0094313362271221E-4</v>
      </c>
      <c r="V401" s="7" t="str" cm="1">
        <f t="array" ref="V401">_xlfn.IFS(HOUR(L400)&lt;12,"Morning",HOUR(L400)&lt;17,"Afternoon",HOUR(L400)&lt;21,"Evening",TRUE,"Night")</f>
        <v>Afternoon</v>
      </c>
    </row>
    <row r="402" spans="1:22" x14ac:dyDescent="0.3">
      <c r="A402" t="s">
        <v>492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  <c r="R402" s="5" t="str">
        <f t="shared" si="18"/>
        <v>Low Sale</v>
      </c>
      <c r="S402" s="7">
        <f t="shared" si="19"/>
        <v>4.7619047619047619</v>
      </c>
      <c r="T402" s="7" t="str" cm="1">
        <f t="array" ref="T402">_xlfn.IFS(Q401&gt;=8,"Excellent",Q401&gt;=6,"Good",Q401&gt;=4,"Average",TRUE,"Poor")</f>
        <v>Excellent</v>
      </c>
      <c r="U402" s="9">
        <f t="shared" si="20"/>
        <v>5.62961978479091E-4</v>
      </c>
      <c r="V402" s="7" t="str" cm="1">
        <f t="array" ref="V402">_xlfn.IFS(HOUR(L401)&lt;12,"Morning",HOUR(L401)&lt;17,"Afternoon",HOUR(L401)&lt;21,"Evening",TRUE,"Night")</f>
        <v>Afternoon</v>
      </c>
    </row>
    <row r="403" spans="1:22" x14ac:dyDescent="0.3">
      <c r="A403" t="s">
        <v>493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  <c r="R403" s="5" t="str">
        <f t="shared" si="18"/>
        <v>Low Sale</v>
      </c>
      <c r="S403" s="7">
        <f t="shared" si="19"/>
        <v>4.7619047619047628</v>
      </c>
      <c r="T403" s="7" t="str" cm="1">
        <f t="array" ref="T403">_xlfn.IFS(Q402&gt;=8,"Excellent",Q402&gt;=6,"Good",Q402&gt;=4,"Average",TRUE,"Poor")</f>
        <v>Excellent</v>
      </c>
      <c r="U403" s="9">
        <f t="shared" si="20"/>
        <v>7.6914729076335943E-4</v>
      </c>
      <c r="V403" s="7" t="str" cm="1">
        <f t="array" ref="V403">_xlfn.IFS(HOUR(L402)&lt;12,"Morning",HOUR(L402)&lt;17,"Afternoon",HOUR(L402)&lt;21,"Evening",TRUE,"Night")</f>
        <v>Evening</v>
      </c>
    </row>
    <row r="404" spans="1:22" x14ac:dyDescent="0.3">
      <c r="A404" t="s">
        <v>494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5" t="str">
        <f t="shared" si="18"/>
        <v>Low Sale</v>
      </c>
      <c r="S404" s="7">
        <f t="shared" si="19"/>
        <v>4.7619047619047619</v>
      </c>
      <c r="T404" s="7" t="str" cm="1">
        <f t="array" ref="T404">_xlfn.IFS(Q403&gt;=8,"Excellent",Q403&gt;=6,"Good",Q403&gt;=4,"Average",TRUE,"Poor")</f>
        <v>Good</v>
      </c>
      <c r="U404" s="9">
        <f t="shared" si="20"/>
        <v>6.0106497217148492E-4</v>
      </c>
      <c r="V404" s="7" t="str" cm="1">
        <f t="array" ref="V404">_xlfn.IFS(HOUR(L403)&lt;12,"Morning",HOUR(L403)&lt;17,"Afternoon",HOUR(L403)&lt;21,"Evening",TRUE,"Night")</f>
        <v>Evening</v>
      </c>
    </row>
    <row r="405" spans="1:22" x14ac:dyDescent="0.3">
      <c r="A405" t="s">
        <v>495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  <c r="R405" s="5" t="str">
        <f t="shared" si="18"/>
        <v>Low Sale</v>
      </c>
      <c r="S405" s="7">
        <f t="shared" si="19"/>
        <v>4.7619047619047619</v>
      </c>
      <c r="T405" s="7" t="str" cm="1">
        <f t="array" ref="T405">_xlfn.IFS(Q404&gt;=8,"Excellent",Q404&gt;=6,"Good",Q404&gt;=4,"Average",TRUE,"Poor")</f>
        <v>Excellent</v>
      </c>
      <c r="U405" s="9">
        <f t="shared" si="20"/>
        <v>4.5450499302019469E-5</v>
      </c>
      <c r="V405" s="7" t="str" cm="1">
        <f t="array" ref="V405">_xlfn.IFS(HOUR(L404)&lt;12,"Morning",HOUR(L404)&lt;17,"Afternoon",HOUR(L404)&lt;21,"Evening",TRUE,"Night")</f>
        <v>Afternoon</v>
      </c>
    </row>
    <row r="406" spans="1:22" x14ac:dyDescent="0.3">
      <c r="A406" t="s">
        <v>496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5" t="str">
        <f t="shared" si="18"/>
        <v>Low Sale</v>
      </c>
      <c r="S406" s="7">
        <f t="shared" si="19"/>
        <v>4.7619047619047619</v>
      </c>
      <c r="T406" s="7" t="str" cm="1">
        <f t="array" ref="T406">_xlfn.IFS(Q405&gt;=8,"Excellent",Q405&gt;=6,"Good",Q405&gt;=4,"Average",TRUE,"Poor")</f>
        <v>Excellent</v>
      </c>
      <c r="U406" s="9">
        <f t="shared" si="20"/>
        <v>6.4615784951905359E-4</v>
      </c>
      <c r="V406" s="7" t="str" cm="1">
        <f t="array" ref="V406">_xlfn.IFS(HOUR(L405)&lt;12,"Morning",HOUR(L405)&lt;17,"Afternoon",HOUR(L405)&lt;21,"Evening",TRUE,"Night")</f>
        <v>Morning</v>
      </c>
    </row>
    <row r="407" spans="1:22" x14ac:dyDescent="0.3">
      <c r="A407" t="s">
        <v>497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  <c r="R407" s="5" t="str">
        <f t="shared" si="18"/>
        <v>Medium Sale</v>
      </c>
      <c r="S407" s="7">
        <f t="shared" si="19"/>
        <v>4.7619047619047628</v>
      </c>
      <c r="T407" s="7" t="str" cm="1">
        <f t="array" ref="T407">_xlfn.IFS(Q406&gt;=8,"Excellent",Q406&gt;=6,"Good",Q406&gt;=4,"Average",TRUE,"Poor")</f>
        <v>Average</v>
      </c>
      <c r="U407" s="9">
        <f t="shared" si="20"/>
        <v>2.2254814225473093E-3</v>
      </c>
      <c r="V407" s="7" t="str" cm="1">
        <f t="array" ref="V407">_xlfn.IFS(HOUR(L406)&lt;12,"Morning",HOUR(L406)&lt;17,"Afternoon",HOUR(L406)&lt;21,"Evening",TRUE,"Night")</f>
        <v>Evening</v>
      </c>
    </row>
    <row r="408" spans="1:22" x14ac:dyDescent="0.3">
      <c r="A408" t="s">
        <v>498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  <c r="R408" s="5" t="str">
        <f t="shared" si="18"/>
        <v>Low Sale</v>
      </c>
      <c r="S408" s="7">
        <f t="shared" si="19"/>
        <v>4.7619047619047619</v>
      </c>
      <c r="T408" s="7" t="str" cm="1">
        <f t="array" ref="T408">_xlfn.IFS(Q407&gt;=8,"Excellent",Q407&gt;=6,"Good",Q407&gt;=4,"Average",TRUE,"Poor")</f>
        <v>Excellent</v>
      </c>
      <c r="U408" s="9">
        <f t="shared" si="20"/>
        <v>8.7467827841311292E-4</v>
      </c>
      <c r="V408" s="7" t="str" cm="1">
        <f t="array" ref="V408">_xlfn.IFS(HOUR(L407)&lt;12,"Morning",HOUR(L407)&lt;17,"Afternoon",HOUR(L407)&lt;21,"Evening",TRUE,"Night")</f>
        <v>Afternoon</v>
      </c>
    </row>
    <row r="409" spans="1:22" x14ac:dyDescent="0.3">
      <c r="A409" t="s">
        <v>499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5" t="str">
        <f t="shared" si="18"/>
        <v>Low Sale</v>
      </c>
      <c r="S409" s="7">
        <f t="shared" si="19"/>
        <v>4.7619047619047628</v>
      </c>
      <c r="T409" s="7" t="str" cm="1">
        <f t="array" ref="T409">_xlfn.IFS(Q408&gt;=8,"Excellent",Q408&gt;=6,"Good",Q408&gt;=4,"Average",TRUE,"Poor")</f>
        <v>Good</v>
      </c>
      <c r="U409" s="9">
        <f t="shared" si="20"/>
        <v>2.2416394326711317E-4</v>
      </c>
      <c r="V409" s="7" t="str" cm="1">
        <f t="array" ref="V409">_xlfn.IFS(HOUR(L408)&lt;12,"Morning",HOUR(L408)&lt;17,"Afternoon",HOUR(L408)&lt;21,"Evening",TRUE,"Night")</f>
        <v>Evening</v>
      </c>
    </row>
    <row r="410" spans="1:22" x14ac:dyDescent="0.3">
      <c r="A410" t="s">
        <v>500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  <c r="R410" s="5" t="str">
        <f t="shared" si="18"/>
        <v>Low Sale</v>
      </c>
      <c r="S410" s="7">
        <f t="shared" si="19"/>
        <v>4.7619047619047628</v>
      </c>
      <c r="T410" s="7" t="str" cm="1">
        <f t="array" ref="T410">_xlfn.IFS(Q409&gt;=8,"Excellent",Q409&gt;=6,"Good",Q409&gt;=4,"Average",TRUE,"Poor")</f>
        <v>Average</v>
      </c>
      <c r="U410" s="9">
        <f t="shared" si="20"/>
        <v>8.935347087387003E-4</v>
      </c>
      <c r="V410" s="7" t="str" cm="1">
        <f t="array" ref="V410">_xlfn.IFS(HOUR(L409)&lt;12,"Morning",HOUR(L409)&lt;17,"Afternoon",HOUR(L409)&lt;21,"Evening",TRUE,"Night")</f>
        <v>Evening</v>
      </c>
    </row>
    <row r="411" spans="1:22" x14ac:dyDescent="0.3">
      <c r="A411" t="s">
        <v>501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  <c r="R411" s="5" t="str">
        <f t="shared" si="18"/>
        <v>Low Sale</v>
      </c>
      <c r="S411" s="7">
        <f t="shared" si="19"/>
        <v>4.7619047619047619</v>
      </c>
      <c r="T411" s="7" t="str" cm="1">
        <f t="array" ref="T411">_xlfn.IFS(Q410&gt;=8,"Excellent",Q410&gt;=6,"Good",Q410&gt;=4,"Average",TRUE,"Poor")</f>
        <v>Average</v>
      </c>
      <c r="U411" s="9">
        <f t="shared" si="20"/>
        <v>7.3514069400376549E-4</v>
      </c>
      <c r="V411" s="7" t="str" cm="1">
        <f t="array" ref="V411">_xlfn.IFS(HOUR(L410)&lt;12,"Morning",HOUR(L410)&lt;17,"Afternoon",HOUR(L410)&lt;21,"Evening",TRUE,"Night")</f>
        <v>Evening</v>
      </c>
    </row>
    <row r="412" spans="1:22" x14ac:dyDescent="0.3">
      <c r="A412" t="s">
        <v>502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  <c r="R412" s="5" t="str">
        <f t="shared" si="18"/>
        <v>Low Sale</v>
      </c>
      <c r="S412" s="7">
        <f t="shared" si="19"/>
        <v>4.7619047619047619</v>
      </c>
      <c r="T412" s="7" t="str" cm="1">
        <f t="array" ref="T412">_xlfn.IFS(Q411&gt;=8,"Excellent",Q411&gt;=6,"Good",Q411&gt;=4,"Average",TRUE,"Poor")</f>
        <v>Average</v>
      </c>
      <c r="U412" s="9">
        <f t="shared" si="20"/>
        <v>3.8720704340990835E-4</v>
      </c>
      <c r="V412" s="7" t="str" cm="1">
        <f t="array" ref="V412">_xlfn.IFS(HOUR(L411)&lt;12,"Morning",HOUR(L411)&lt;17,"Afternoon",HOUR(L411)&lt;21,"Evening",TRUE,"Night")</f>
        <v>Evening</v>
      </c>
    </row>
    <row r="413" spans="1:22" x14ac:dyDescent="0.3">
      <c r="A413" t="s">
        <v>503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  <c r="R413" s="5" t="str">
        <f t="shared" si="18"/>
        <v>Low Sale</v>
      </c>
      <c r="S413" s="7">
        <f t="shared" si="19"/>
        <v>4.7619047619047628</v>
      </c>
      <c r="T413" s="7" t="str" cm="1">
        <f t="array" ref="T413">_xlfn.IFS(Q412&gt;=8,"Excellent",Q412&gt;=6,"Good",Q412&gt;=4,"Average",TRUE,"Poor")</f>
        <v>Average</v>
      </c>
      <c r="U413" s="9">
        <f t="shared" si="20"/>
        <v>1.1122042783419785E-3</v>
      </c>
      <c r="V413" s="7" t="str" cm="1">
        <f t="array" ref="V413">_xlfn.IFS(HOUR(L412)&lt;12,"Morning",HOUR(L412)&lt;17,"Afternoon",HOUR(L412)&lt;21,"Evening",TRUE,"Night")</f>
        <v>Afternoon</v>
      </c>
    </row>
    <row r="414" spans="1:22" x14ac:dyDescent="0.3">
      <c r="A414" t="s">
        <v>504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  <c r="R414" s="5" t="str">
        <f t="shared" si="18"/>
        <v>Low Sale</v>
      </c>
      <c r="S414" s="7">
        <f t="shared" si="19"/>
        <v>4.7619047619047619</v>
      </c>
      <c r="T414" s="7" t="str" cm="1">
        <f t="array" ref="T414">_xlfn.IFS(Q413&gt;=8,"Excellent",Q413&gt;=6,"Good",Q413&gt;=4,"Average",TRUE,"Poor")</f>
        <v>Good</v>
      </c>
      <c r="U414" s="9">
        <f t="shared" si="20"/>
        <v>1.4220349352434417E-4</v>
      </c>
      <c r="V414" s="7" t="str" cm="1">
        <f t="array" ref="V414">_xlfn.IFS(HOUR(L413)&lt;12,"Morning",HOUR(L413)&lt;17,"Afternoon",HOUR(L413)&lt;21,"Evening",TRUE,"Night")</f>
        <v>Afternoon</v>
      </c>
    </row>
    <row r="415" spans="1:22" x14ac:dyDescent="0.3">
      <c r="A415" t="s">
        <v>505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  <c r="R415" s="5" t="str">
        <f t="shared" si="18"/>
        <v>Low Sale</v>
      </c>
      <c r="S415" s="7">
        <f t="shared" si="19"/>
        <v>4.7619047619047619</v>
      </c>
      <c r="T415" s="7" t="str" cm="1">
        <f t="array" ref="T415">_xlfn.IFS(Q414&gt;=8,"Excellent",Q414&gt;=6,"Good",Q414&gt;=4,"Average",TRUE,"Poor")</f>
        <v>Good</v>
      </c>
      <c r="U415" s="9">
        <f t="shared" si="20"/>
        <v>3.4087874476514601E-4</v>
      </c>
      <c r="V415" s="7" t="str" cm="1">
        <f t="array" ref="V415">_xlfn.IFS(HOUR(L414)&lt;12,"Morning",HOUR(L414)&lt;17,"Afternoon",HOUR(L414)&lt;21,"Evening",TRUE,"Night")</f>
        <v>Afternoon</v>
      </c>
    </row>
    <row r="416" spans="1:22" x14ac:dyDescent="0.3">
      <c r="A416" t="s">
        <v>506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  <c r="R416" s="5" t="str">
        <f t="shared" si="18"/>
        <v>Low Sale</v>
      </c>
      <c r="S416" s="7">
        <f t="shared" si="19"/>
        <v>4.7619047619047619</v>
      </c>
      <c r="T416" s="7" t="str" cm="1">
        <f t="array" ref="T416">_xlfn.IFS(Q415&gt;=8,"Excellent",Q415&gt;=6,"Good",Q415&gt;=4,"Average",TRUE,"Poor")</f>
        <v>Good</v>
      </c>
      <c r="U416" s="9">
        <f t="shared" si="20"/>
        <v>2.5202594462750709E-4</v>
      </c>
      <c r="V416" s="7" t="str" cm="1">
        <f t="array" ref="V416">_xlfn.IFS(HOUR(L415)&lt;12,"Morning",HOUR(L415)&lt;17,"Afternoon",HOUR(L415)&lt;21,"Evening",TRUE,"Night")</f>
        <v>Evening</v>
      </c>
    </row>
    <row r="417" spans="1:22" x14ac:dyDescent="0.3">
      <c r="A417" t="s">
        <v>507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  <c r="R417" s="5" t="str">
        <f t="shared" si="18"/>
        <v>Low Sale</v>
      </c>
      <c r="S417" s="7">
        <f t="shared" si="19"/>
        <v>4.7619047619047619</v>
      </c>
      <c r="T417" s="7" t="str" cm="1">
        <f t="array" ref="T417">_xlfn.IFS(Q416&gt;=8,"Excellent",Q416&gt;=6,"Good",Q416&gt;=4,"Average",TRUE,"Poor")</f>
        <v>Excellent</v>
      </c>
      <c r="U417" s="9">
        <f t="shared" si="20"/>
        <v>1.324631719285752E-3</v>
      </c>
      <c r="V417" s="7" t="str" cm="1">
        <f t="array" ref="V417">_xlfn.IFS(HOUR(L416)&lt;12,"Morning",HOUR(L416)&lt;17,"Afternoon",HOUR(L416)&lt;21,"Evening",TRUE,"Night")</f>
        <v>Evening</v>
      </c>
    </row>
    <row r="418" spans="1:22" x14ac:dyDescent="0.3">
      <c r="A418" t="s">
        <v>508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5" t="str">
        <f t="shared" si="18"/>
        <v>Low Sale</v>
      </c>
      <c r="S418" s="7">
        <f t="shared" si="19"/>
        <v>4.7619047619047628</v>
      </c>
      <c r="T418" s="7" t="str" cm="1">
        <f t="array" ref="T418">_xlfn.IFS(Q417&gt;=8,"Excellent",Q417&gt;=6,"Good",Q417&gt;=4,"Average",TRUE,"Poor")</f>
        <v>Good</v>
      </c>
      <c r="U418" s="9">
        <f t="shared" si="20"/>
        <v>3.1246405492969174E-4</v>
      </c>
      <c r="V418" s="7" t="str" cm="1">
        <f t="array" ref="V418">_xlfn.IFS(HOUR(L417)&lt;12,"Morning",HOUR(L417)&lt;17,"Afternoon",HOUR(L417)&lt;21,"Evening",TRUE,"Night")</f>
        <v>Afternoon</v>
      </c>
    </row>
    <row r="419" spans="1:22" x14ac:dyDescent="0.3">
      <c r="A419" t="s">
        <v>509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5" t="str">
        <f t="shared" si="18"/>
        <v>Low Sale</v>
      </c>
      <c r="S419" s="7">
        <f t="shared" si="19"/>
        <v>4.7619047619047628</v>
      </c>
      <c r="T419" s="7" t="str" cm="1">
        <f t="array" ref="T419">_xlfn.IFS(Q418&gt;=8,"Excellent",Q418&gt;=6,"Good",Q418&gt;=4,"Average",TRUE,"Poor")</f>
        <v>Excellent</v>
      </c>
      <c r="U419" s="9">
        <f t="shared" si="20"/>
        <v>5.9014124701735153E-4</v>
      </c>
      <c r="V419" s="7" t="str" cm="1">
        <f t="array" ref="V419">_xlfn.IFS(HOUR(L418)&lt;12,"Morning",HOUR(L418)&lt;17,"Afternoon",HOUR(L418)&lt;21,"Evening",TRUE,"Night")</f>
        <v>Afternoon</v>
      </c>
    </row>
    <row r="420" spans="1:22" x14ac:dyDescent="0.3">
      <c r="A420" t="s">
        <v>510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5" t="str">
        <f t="shared" si="18"/>
        <v>Low Sale</v>
      </c>
      <c r="S420" s="7">
        <f t="shared" si="19"/>
        <v>4.7619047619047628</v>
      </c>
      <c r="T420" s="7" t="str" cm="1">
        <f t="array" ref="T420">_xlfn.IFS(Q419&gt;=8,"Excellent",Q419&gt;=6,"Good",Q419&gt;=4,"Average",TRUE,"Poor")</f>
        <v>Excellent</v>
      </c>
      <c r="U420" s="9">
        <f t="shared" si="20"/>
        <v>2.6499786824804052E-4</v>
      </c>
      <c r="V420" s="7" t="str" cm="1">
        <f t="array" ref="V420">_xlfn.IFS(HOUR(L419)&lt;12,"Morning",HOUR(L419)&lt;17,"Afternoon",HOUR(L419)&lt;21,"Evening",TRUE,"Night")</f>
        <v>Morning</v>
      </c>
    </row>
    <row r="421" spans="1:22" x14ac:dyDescent="0.3">
      <c r="A421" t="s">
        <v>511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  <c r="R421" s="5" t="str">
        <f t="shared" si="18"/>
        <v>Low Sale</v>
      </c>
      <c r="S421" s="7">
        <f t="shared" si="19"/>
        <v>4.7619047619047628</v>
      </c>
      <c r="T421" s="7" t="str" cm="1">
        <f t="array" ref="T421">_xlfn.IFS(Q420&gt;=8,"Excellent",Q420&gt;=6,"Good",Q420&gt;=4,"Average",TRUE,"Poor")</f>
        <v>Excellent</v>
      </c>
      <c r="U421" s="9">
        <f t="shared" si="20"/>
        <v>3.7205687697590189E-4</v>
      </c>
      <c r="V421" s="7" t="str" cm="1">
        <f t="array" ref="V421">_xlfn.IFS(HOUR(L420)&lt;12,"Morning",HOUR(L420)&lt;17,"Afternoon",HOUR(L420)&lt;21,"Evening",TRUE,"Night")</f>
        <v>Evening</v>
      </c>
    </row>
    <row r="422" spans="1:22" x14ac:dyDescent="0.3">
      <c r="A422" t="s">
        <v>512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  <c r="R422" s="5" t="str">
        <f t="shared" si="18"/>
        <v>Low Sale</v>
      </c>
      <c r="S422" s="7">
        <f t="shared" si="19"/>
        <v>4.7619047619047628</v>
      </c>
      <c r="T422" s="7" t="str" cm="1">
        <f t="array" ref="T422">_xlfn.IFS(Q421&gt;=8,"Excellent",Q421&gt;=6,"Good",Q421&gt;=4,"Average",TRUE,"Poor")</f>
        <v>Excellent</v>
      </c>
      <c r="U422" s="9">
        <f t="shared" si="20"/>
        <v>5.7395072580676088E-4</v>
      </c>
      <c r="V422" s="7" t="str" cm="1">
        <f t="array" ref="V422">_xlfn.IFS(HOUR(L421)&lt;12,"Morning",HOUR(L421)&lt;17,"Afternoon",HOUR(L421)&lt;21,"Evening",TRUE,"Night")</f>
        <v>Morning</v>
      </c>
    </row>
    <row r="423" spans="1:22" x14ac:dyDescent="0.3">
      <c r="A423" t="s">
        <v>513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  <c r="R423" s="5" t="str">
        <f t="shared" si="18"/>
        <v>Low Sale</v>
      </c>
      <c r="S423" s="7">
        <f t="shared" si="19"/>
        <v>4.7619047619047619</v>
      </c>
      <c r="T423" s="7" t="str" cm="1">
        <f t="array" ref="T423">_xlfn.IFS(Q422&gt;=8,"Excellent",Q422&gt;=6,"Good",Q422&gt;=4,"Average",TRUE,"Poor")</f>
        <v>Good</v>
      </c>
      <c r="U423" s="9">
        <f t="shared" si="20"/>
        <v>3.7647838477638444E-4</v>
      </c>
      <c r="V423" s="7" t="str" cm="1">
        <f t="array" ref="V423">_xlfn.IFS(HOUR(L422)&lt;12,"Morning",HOUR(L422)&lt;17,"Afternoon",HOUR(L422)&lt;21,"Evening",TRUE,"Night")</f>
        <v>Afternoon</v>
      </c>
    </row>
    <row r="424" spans="1:22" x14ac:dyDescent="0.3">
      <c r="A424" t="s">
        <v>514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5" t="str">
        <f t="shared" si="18"/>
        <v>Low Sale</v>
      </c>
      <c r="S424" s="7">
        <f t="shared" si="19"/>
        <v>4.7619047619047628</v>
      </c>
      <c r="T424" s="7" t="str" cm="1">
        <f t="array" ref="T424">_xlfn.IFS(Q423&gt;=8,"Excellent",Q423&gt;=6,"Good",Q423&gt;=4,"Average",TRUE,"Poor")</f>
        <v>Excellent</v>
      </c>
      <c r="U424" s="9">
        <f t="shared" si="20"/>
        <v>8.1976705286153134E-4</v>
      </c>
      <c r="V424" s="7" t="str" cm="1">
        <f t="array" ref="V424">_xlfn.IFS(HOUR(L423)&lt;12,"Morning",HOUR(L423)&lt;17,"Afternoon",HOUR(L423)&lt;21,"Evening",TRUE,"Night")</f>
        <v>Afternoon</v>
      </c>
    </row>
    <row r="425" spans="1:22" x14ac:dyDescent="0.3">
      <c r="A425" t="s">
        <v>515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  <c r="R425" s="5" t="str">
        <f t="shared" si="18"/>
        <v>High Sale</v>
      </c>
      <c r="S425" s="7">
        <f t="shared" si="19"/>
        <v>4.7619047619047619</v>
      </c>
      <c r="T425" s="7" t="str" cm="1">
        <f t="array" ref="T425">_xlfn.IFS(Q424&gt;=8,"Excellent",Q424&gt;=6,"Good",Q424&gt;=4,"Average",TRUE,"Poor")</f>
        <v>Excellent</v>
      </c>
      <c r="U425" s="9">
        <f t="shared" si="20"/>
        <v>3.1604027447419978E-3</v>
      </c>
      <c r="V425" s="7" t="str" cm="1">
        <f t="array" ref="V425">_xlfn.IFS(HOUR(L424)&lt;12,"Morning",HOUR(L424)&lt;17,"Afternoon",HOUR(L424)&lt;21,"Evening",TRUE,"Night")</f>
        <v>Afternoon</v>
      </c>
    </row>
    <row r="426" spans="1:22" x14ac:dyDescent="0.3">
      <c r="A426" t="s">
        <v>516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  <c r="R426" s="5" t="str">
        <f t="shared" si="18"/>
        <v>Low Sale</v>
      </c>
      <c r="S426" s="7">
        <f t="shared" si="19"/>
        <v>4.7619047619047619</v>
      </c>
      <c r="T426" s="7" t="str" cm="1">
        <f t="array" ref="T426">_xlfn.IFS(Q425&gt;=8,"Excellent",Q425&gt;=6,"Good",Q425&gt;=4,"Average",TRUE,"Poor")</f>
        <v>Good</v>
      </c>
      <c r="U426" s="9">
        <f t="shared" si="20"/>
        <v>6.6114546051921881E-4</v>
      </c>
      <c r="V426" s="7" t="str" cm="1">
        <f t="array" ref="V426">_xlfn.IFS(HOUR(L425)&lt;12,"Morning",HOUR(L425)&lt;17,"Afternoon",HOUR(L425)&lt;21,"Evening",TRUE,"Night")</f>
        <v>Evening</v>
      </c>
    </row>
    <row r="427" spans="1:22" x14ac:dyDescent="0.3">
      <c r="A427" t="s">
        <v>517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  <c r="R427" s="5" t="str">
        <f t="shared" si="18"/>
        <v>Low Sale</v>
      </c>
      <c r="S427" s="7">
        <f t="shared" si="19"/>
        <v>4.761904761904761</v>
      </c>
      <c r="T427" s="7" t="str" cm="1">
        <f t="array" ref="T427">_xlfn.IFS(Q426&gt;=8,"Excellent",Q426&gt;=6,"Good",Q426&gt;=4,"Average",TRUE,"Poor")</f>
        <v>Average</v>
      </c>
      <c r="U427" s="9">
        <f t="shared" si="20"/>
        <v>5.2928049258717953E-5</v>
      </c>
      <c r="V427" s="7" t="str" cm="1">
        <f t="array" ref="V427">_xlfn.IFS(HOUR(L426)&lt;12,"Morning",HOUR(L426)&lt;17,"Afternoon",HOUR(L426)&lt;21,"Evening",TRUE,"Night")</f>
        <v>Afternoon</v>
      </c>
    </row>
    <row r="428" spans="1:22" x14ac:dyDescent="0.3">
      <c r="A428" t="s">
        <v>518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  <c r="R428" s="5" t="str">
        <f t="shared" si="18"/>
        <v>Low Sale</v>
      </c>
      <c r="S428" s="7">
        <f t="shared" si="19"/>
        <v>4.7619047619047619</v>
      </c>
      <c r="T428" s="7" t="str" cm="1">
        <f t="array" ref="T428">_xlfn.IFS(Q427&gt;=8,"Excellent",Q427&gt;=6,"Good",Q427&gt;=4,"Average",TRUE,"Poor")</f>
        <v>Good</v>
      </c>
      <c r="U428" s="9">
        <f t="shared" si="20"/>
        <v>1.1882477102929253E-3</v>
      </c>
      <c r="V428" s="7" t="str" cm="1">
        <f t="array" ref="V428">_xlfn.IFS(HOUR(L427)&lt;12,"Morning",HOUR(L427)&lt;17,"Afternoon",HOUR(L427)&lt;21,"Evening",TRUE,"Night")</f>
        <v>Afternoon</v>
      </c>
    </row>
    <row r="429" spans="1:22" x14ac:dyDescent="0.3">
      <c r="A429" t="s">
        <v>519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298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  <c r="R429" s="5" t="str">
        <f t="shared" si="18"/>
        <v>Low Sale</v>
      </c>
      <c r="S429" s="7">
        <f t="shared" si="19"/>
        <v>4.7619047619047619</v>
      </c>
      <c r="T429" s="7" t="str" cm="1">
        <f t="array" ref="T429">_xlfn.IFS(Q428&gt;=8,"Excellent",Q428&gt;=6,"Good",Q428&gt;=4,"Average",TRUE,"Poor")</f>
        <v>Excellent</v>
      </c>
      <c r="U429" s="9">
        <f t="shared" si="20"/>
        <v>1.2100301384276558E-3</v>
      </c>
      <c r="V429" s="7" t="str" cm="1">
        <f t="array" ref="V429">_xlfn.IFS(HOUR(L428)&lt;12,"Morning",HOUR(L428)&lt;17,"Afternoon",HOUR(L428)&lt;21,"Evening",TRUE,"Night")</f>
        <v>Evening</v>
      </c>
    </row>
    <row r="430" spans="1:22" x14ac:dyDescent="0.3">
      <c r="A430" t="s">
        <v>520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  <c r="R430" s="5" t="str">
        <f t="shared" si="18"/>
        <v>Low Sale</v>
      </c>
      <c r="S430" s="7">
        <f t="shared" si="19"/>
        <v>4.7619047619047628</v>
      </c>
      <c r="T430" s="7" t="str" cm="1">
        <f t="array" ref="T430">_xlfn.IFS(Q429&gt;=8,"Excellent",Q429&gt;=6,"Good",Q429&gt;=4,"Average",TRUE,"Poor")</f>
        <v>Excellent</v>
      </c>
      <c r="U430" s="9">
        <f t="shared" si="20"/>
        <v>2.0355191425603996E-4</v>
      </c>
      <c r="V430" s="7" t="str" cm="1">
        <f t="array" ref="V430">_xlfn.IFS(HOUR(L429)&lt;12,"Morning",HOUR(L429)&lt;17,"Afternoon",HOUR(L429)&lt;21,"Evening",TRUE,"Night")</f>
        <v>Afternoon</v>
      </c>
    </row>
    <row r="431" spans="1:22" x14ac:dyDescent="0.3">
      <c r="A431" t="s">
        <v>521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  <c r="R431" s="5" t="str">
        <f t="shared" si="18"/>
        <v>Low Sale</v>
      </c>
      <c r="S431" s="7">
        <f t="shared" si="19"/>
        <v>4.7619047619047619</v>
      </c>
      <c r="T431" s="7" t="str" cm="1">
        <f t="array" ref="T431">_xlfn.IFS(Q430&gt;=8,"Excellent",Q430&gt;=6,"Good",Q430&gt;=4,"Average",TRUE,"Poor")</f>
        <v>Good</v>
      </c>
      <c r="U431" s="9">
        <f t="shared" si="20"/>
        <v>1.0935104034502324E-3</v>
      </c>
      <c r="V431" s="7" t="str" cm="1">
        <f t="array" ref="V431">_xlfn.IFS(HOUR(L430)&lt;12,"Morning",HOUR(L430)&lt;17,"Afternoon",HOUR(L430)&lt;21,"Evening",TRUE,"Night")</f>
        <v>Evening</v>
      </c>
    </row>
    <row r="432" spans="1:22" x14ac:dyDescent="0.3">
      <c r="A432" t="s">
        <v>522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308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  <c r="R432" s="5" t="str">
        <f t="shared" si="18"/>
        <v>Medium Sale</v>
      </c>
      <c r="S432" s="7">
        <f t="shared" si="19"/>
        <v>4.7619047619047619</v>
      </c>
      <c r="T432" s="7" t="str" cm="1">
        <f t="array" ref="T432">_xlfn.IFS(Q431&gt;=8,"Excellent",Q431&gt;=6,"Good",Q431&gt;=4,"Average",TRUE,"Poor")</f>
        <v>Good</v>
      </c>
      <c r="U432" s="9">
        <f t="shared" si="20"/>
        <v>2.9471300155422498E-3</v>
      </c>
      <c r="V432" s="7" t="str" cm="1">
        <f t="array" ref="V432">_xlfn.IFS(HOUR(L431)&lt;12,"Morning",HOUR(L431)&lt;17,"Afternoon",HOUR(L431)&lt;21,"Evening",TRUE,"Night")</f>
        <v>Morning</v>
      </c>
    </row>
    <row r="433" spans="1:22" x14ac:dyDescent="0.3">
      <c r="A433" t="s">
        <v>523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  <c r="R433" s="5" t="str">
        <f t="shared" si="18"/>
        <v>Low Sale</v>
      </c>
      <c r="S433" s="7">
        <f t="shared" si="19"/>
        <v>4.7619047619047619</v>
      </c>
      <c r="T433" s="7" t="str" cm="1">
        <f t="array" ref="T433">_xlfn.IFS(Q432&gt;=8,"Excellent",Q432&gt;=6,"Good",Q432&gt;=4,"Average",TRUE,"Poor")</f>
        <v>Good</v>
      </c>
      <c r="U433" s="9">
        <f t="shared" si="20"/>
        <v>4.4917317479020101E-4</v>
      </c>
      <c r="V433" s="7" t="str" cm="1">
        <f t="array" ref="V433">_xlfn.IFS(HOUR(L432)&lt;12,"Morning",HOUR(L432)&lt;17,"Afternoon",HOUR(L432)&lt;21,"Evening",TRUE,"Night")</f>
        <v>Evening</v>
      </c>
    </row>
    <row r="434" spans="1:22" x14ac:dyDescent="0.3">
      <c r="A434" t="s">
        <v>524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  <c r="R434" s="5" t="str">
        <f t="shared" si="18"/>
        <v>Low Sale</v>
      </c>
      <c r="S434" s="7">
        <f t="shared" si="19"/>
        <v>4.7619047619047619</v>
      </c>
      <c r="T434" s="7" t="str" cm="1">
        <f t="array" ref="T434">_xlfn.IFS(Q433&gt;=8,"Excellent",Q433&gt;=6,"Good",Q433&gt;=4,"Average",TRUE,"Poor")</f>
        <v>Average</v>
      </c>
      <c r="U434" s="9">
        <f t="shared" si="20"/>
        <v>2.8135094489247246E-4</v>
      </c>
      <c r="V434" s="7" t="str" cm="1">
        <f t="array" ref="V434">_xlfn.IFS(HOUR(L433)&lt;12,"Morning",HOUR(L433)&lt;17,"Afternoon",HOUR(L433)&lt;21,"Evening",TRUE,"Night")</f>
        <v>Afternoon</v>
      </c>
    </row>
    <row r="435" spans="1:22" x14ac:dyDescent="0.3">
      <c r="A435" t="s">
        <v>525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  <c r="R435" s="5" t="str">
        <f t="shared" si="18"/>
        <v>Low Sale</v>
      </c>
      <c r="S435" s="7">
        <f t="shared" si="19"/>
        <v>4.7619047619047628</v>
      </c>
      <c r="T435" s="7" t="str" cm="1">
        <f t="array" ref="T435">_xlfn.IFS(Q434&gt;=8,"Excellent",Q434&gt;=6,"Good",Q434&gt;=4,"Average",TRUE,"Poor")</f>
        <v>Good</v>
      </c>
      <c r="U435" s="9">
        <f t="shared" si="20"/>
        <v>4.576260573499471E-4</v>
      </c>
      <c r="V435" s="7" t="str" cm="1">
        <f t="array" ref="V435">_xlfn.IFS(HOUR(L434)&lt;12,"Morning",HOUR(L434)&lt;17,"Afternoon",HOUR(L434)&lt;21,"Evening",TRUE,"Night")</f>
        <v>Evening</v>
      </c>
    </row>
    <row r="436" spans="1:22" x14ac:dyDescent="0.3">
      <c r="A436" t="s">
        <v>526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  <c r="R436" s="5" t="str">
        <f t="shared" si="18"/>
        <v>Medium Sale</v>
      </c>
      <c r="S436" s="7">
        <f t="shared" si="19"/>
        <v>4.7619047619047619</v>
      </c>
      <c r="T436" s="7" t="str" cm="1">
        <f t="array" ref="T436">_xlfn.IFS(Q435&gt;=8,"Excellent",Q435&gt;=6,"Good",Q435&gt;=4,"Average",TRUE,"Poor")</f>
        <v>Excellent</v>
      </c>
      <c r="U436" s="9">
        <f t="shared" si="20"/>
        <v>2.1742764608873094E-3</v>
      </c>
      <c r="V436" s="7" t="str" cm="1">
        <f t="array" ref="V436">_xlfn.IFS(HOUR(L435)&lt;12,"Morning",HOUR(L435)&lt;17,"Afternoon",HOUR(L435)&lt;21,"Evening",TRUE,"Night")</f>
        <v>Afternoon</v>
      </c>
    </row>
    <row r="437" spans="1:22" x14ac:dyDescent="0.3">
      <c r="A437" t="s">
        <v>527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  <c r="R437" s="5" t="str">
        <f t="shared" si="18"/>
        <v>Low Sale</v>
      </c>
      <c r="S437" s="7">
        <f t="shared" si="19"/>
        <v>4.7619047619047619</v>
      </c>
      <c r="T437" s="7" t="str" cm="1">
        <f t="array" ref="T437">_xlfn.IFS(Q436&gt;=8,"Excellent",Q436&gt;=6,"Good",Q436&gt;=4,"Average",TRUE,"Poor")</f>
        <v>Good</v>
      </c>
      <c r="U437" s="9">
        <f t="shared" si="20"/>
        <v>1.5423259562859825E-4</v>
      </c>
      <c r="V437" s="7" t="str" cm="1">
        <f t="array" ref="V437">_xlfn.IFS(HOUR(L436)&lt;12,"Morning",HOUR(L436)&lt;17,"Afternoon",HOUR(L436)&lt;21,"Evening",TRUE,"Night")</f>
        <v>Evening</v>
      </c>
    </row>
    <row r="438" spans="1:22" x14ac:dyDescent="0.3">
      <c r="A438" t="s">
        <v>528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  <c r="R438" s="5" t="str">
        <f t="shared" si="18"/>
        <v>Medium Sale</v>
      </c>
      <c r="S438" s="7">
        <f t="shared" si="19"/>
        <v>4.7619047619047628</v>
      </c>
      <c r="T438" s="7" t="str" cm="1">
        <f t="array" ref="T438">_xlfn.IFS(Q437&gt;=8,"Excellent",Q437&gt;=6,"Good",Q437&gt;=4,"Average",TRUE,"Poor")</f>
        <v>Excellent</v>
      </c>
      <c r="U438" s="9">
        <f t="shared" si="20"/>
        <v>2.9037602257933983E-3</v>
      </c>
      <c r="V438" s="7" t="str" cm="1">
        <f t="array" ref="V438">_xlfn.IFS(HOUR(L437)&lt;12,"Morning",HOUR(L437)&lt;17,"Afternoon",HOUR(L437)&lt;21,"Evening",TRUE,"Night")</f>
        <v>Evening</v>
      </c>
    </row>
    <row r="439" spans="1:22" x14ac:dyDescent="0.3">
      <c r="A439" t="s">
        <v>529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  <c r="R439" s="5" t="str">
        <f t="shared" si="18"/>
        <v>Low Sale</v>
      </c>
      <c r="S439" s="7">
        <f t="shared" si="19"/>
        <v>4.7619047619047619</v>
      </c>
      <c r="T439" s="7" t="str" cm="1">
        <f t="array" ref="T439">_xlfn.IFS(Q438&gt;=8,"Excellent",Q438&gt;=6,"Good",Q438&gt;=4,"Average",TRUE,"Poor")</f>
        <v>Excellent</v>
      </c>
      <c r="U439" s="9">
        <f t="shared" si="20"/>
        <v>1.0784577702765306E-3</v>
      </c>
      <c r="V439" s="7" t="str" cm="1">
        <f t="array" ref="V439">_xlfn.IFS(HOUR(L438)&lt;12,"Morning",HOUR(L438)&lt;17,"Afternoon",HOUR(L438)&lt;21,"Evening",TRUE,"Night")</f>
        <v>Afternoon</v>
      </c>
    </row>
    <row r="440" spans="1:22" x14ac:dyDescent="0.3">
      <c r="A440" t="s">
        <v>530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  <c r="R440" s="5" t="str">
        <f t="shared" si="18"/>
        <v>Low Sale</v>
      </c>
      <c r="S440" s="7">
        <f t="shared" si="19"/>
        <v>4.7619047619047619</v>
      </c>
      <c r="T440" s="7" t="str" cm="1">
        <f t="array" ref="T440">_xlfn.IFS(Q439&gt;=8,"Excellent",Q439&gt;=6,"Good",Q439&gt;=4,"Average",TRUE,"Poor")</f>
        <v>Good</v>
      </c>
      <c r="U440" s="9">
        <f t="shared" si="20"/>
        <v>6.6303110355177752E-4</v>
      </c>
      <c r="V440" s="7" t="str" cm="1">
        <f t="array" ref="V440">_xlfn.IFS(HOUR(L439)&lt;12,"Morning",HOUR(L439)&lt;17,"Afternoon",HOUR(L439)&lt;21,"Evening",TRUE,"Night")</f>
        <v>Afternoon</v>
      </c>
    </row>
    <row r="441" spans="1:22" x14ac:dyDescent="0.3">
      <c r="A441" t="s">
        <v>531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  <c r="R441" s="5" t="str">
        <f t="shared" si="18"/>
        <v>Low Sale</v>
      </c>
      <c r="S441" s="7">
        <f t="shared" si="19"/>
        <v>4.7619047619047619</v>
      </c>
      <c r="T441" s="7" t="str" cm="1">
        <f t="array" ref="T441">_xlfn.IFS(Q440&gt;=8,"Excellent",Q440&gt;=6,"Good",Q440&gt;=4,"Average",TRUE,"Poor")</f>
        <v>Good</v>
      </c>
      <c r="U441" s="9">
        <f t="shared" si="20"/>
        <v>2.2159556741242108E-4</v>
      </c>
      <c r="V441" s="7" t="str" cm="1">
        <f t="array" ref="V441">_xlfn.IFS(HOUR(L440)&lt;12,"Morning",HOUR(L440)&lt;17,"Afternoon",HOUR(L440)&lt;21,"Evening",TRUE,"Night")</f>
        <v>Evening</v>
      </c>
    </row>
    <row r="442" spans="1:22" x14ac:dyDescent="0.3">
      <c r="A442" t="s">
        <v>532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  <c r="R442" s="5" t="str">
        <f t="shared" si="18"/>
        <v>Low Sale</v>
      </c>
      <c r="S442" s="7">
        <f t="shared" si="19"/>
        <v>4.7619047619047628</v>
      </c>
      <c r="T442" s="7" t="str" cm="1">
        <f t="array" ref="T442">_xlfn.IFS(Q441&gt;=8,"Excellent",Q441&gt;=6,"Good",Q441&gt;=4,"Average",TRUE,"Poor")</f>
        <v>Good</v>
      </c>
      <c r="U442" s="9">
        <f t="shared" si="20"/>
        <v>1.0627224042806956E-3</v>
      </c>
      <c r="V442" s="7" t="str" cm="1">
        <f t="array" ref="V442">_xlfn.IFS(HOUR(L441)&lt;12,"Morning",HOUR(L441)&lt;17,"Afternoon",HOUR(L441)&lt;21,"Evening",TRUE,"Night")</f>
        <v>Afternoon</v>
      </c>
    </row>
    <row r="443" spans="1:22" x14ac:dyDescent="0.3">
      <c r="A443" t="s">
        <v>533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  <c r="R443" s="5" t="str">
        <f t="shared" si="18"/>
        <v>Low Sale</v>
      </c>
      <c r="S443" s="7">
        <f t="shared" si="19"/>
        <v>4.7619047619047628</v>
      </c>
      <c r="T443" s="7" t="str" cm="1">
        <f t="array" ref="T443">_xlfn.IFS(Q442&gt;=8,"Excellent",Q442&gt;=6,"Good",Q442&gt;=4,"Average",TRUE,"Poor")</f>
        <v>Excellent</v>
      </c>
      <c r="U443" s="9">
        <f t="shared" si="20"/>
        <v>2.8349667661917724E-4</v>
      </c>
      <c r="V443" s="7" t="str" cm="1">
        <f t="array" ref="V443">_xlfn.IFS(HOUR(L442)&lt;12,"Morning",HOUR(L442)&lt;17,"Afternoon",HOUR(L442)&lt;21,"Evening",TRUE,"Night")</f>
        <v>Evening</v>
      </c>
    </row>
    <row r="444" spans="1:22" x14ac:dyDescent="0.3">
      <c r="A444" t="s">
        <v>534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  <c r="R444" s="5" t="str">
        <f t="shared" si="18"/>
        <v>Medium Sale</v>
      </c>
      <c r="S444" s="7">
        <f t="shared" si="19"/>
        <v>4.7619047619047619</v>
      </c>
      <c r="T444" s="7" t="str" cm="1">
        <f t="array" ref="T444">_xlfn.IFS(Q443&gt;=8,"Excellent",Q443&gt;=6,"Good",Q443&gt;=4,"Average",TRUE,"Poor")</f>
        <v>Average</v>
      </c>
      <c r="U444" s="9">
        <f t="shared" si="20"/>
        <v>2.2999643223333799E-3</v>
      </c>
      <c r="V444" s="7" t="str" cm="1">
        <f t="array" ref="V444">_xlfn.IFS(HOUR(L443)&lt;12,"Morning",HOUR(L443)&lt;17,"Afternoon",HOUR(L443)&lt;21,"Evening",TRUE,"Night")</f>
        <v>Evening</v>
      </c>
    </row>
    <row r="445" spans="1:22" x14ac:dyDescent="0.3">
      <c r="A445" t="s">
        <v>535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  <c r="R445" s="5" t="str">
        <f t="shared" si="18"/>
        <v>Medium Sale</v>
      </c>
      <c r="S445" s="7">
        <f t="shared" si="19"/>
        <v>4.7619047619047628</v>
      </c>
      <c r="T445" s="7" t="str" cm="1">
        <f t="array" ref="T445">_xlfn.IFS(Q444&gt;=8,"Excellent",Q444&gt;=6,"Good",Q444&gt;=4,"Average",TRUE,"Poor")</f>
        <v>Good</v>
      </c>
      <c r="U445" s="9">
        <f t="shared" si="20"/>
        <v>2.6102826455363668E-3</v>
      </c>
      <c r="V445" s="7" t="str" cm="1">
        <f t="array" ref="V445">_xlfn.IFS(HOUR(L444)&lt;12,"Morning",HOUR(L444)&lt;17,"Afternoon",HOUR(L444)&lt;21,"Evening",TRUE,"Night")</f>
        <v>Afternoon</v>
      </c>
    </row>
    <row r="446" spans="1:22" x14ac:dyDescent="0.3">
      <c r="A446" t="s">
        <v>536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5" t="str">
        <f t="shared" si="18"/>
        <v>Low Sale</v>
      </c>
      <c r="S446" s="7">
        <f t="shared" si="19"/>
        <v>4.7619047619047619</v>
      </c>
      <c r="T446" s="7" t="str" cm="1">
        <f t="array" ref="T446">_xlfn.IFS(Q445&gt;=8,"Excellent",Q445&gt;=6,"Good",Q445&gt;=4,"Average",TRUE,"Poor")</f>
        <v>Excellent</v>
      </c>
      <c r="U446" s="9">
        <f t="shared" si="20"/>
        <v>4.1549168889828959E-5</v>
      </c>
      <c r="V446" s="7" t="str" cm="1">
        <f t="array" ref="V446">_xlfn.IFS(HOUR(L445)&lt;12,"Morning",HOUR(L445)&lt;17,"Afternoon",HOUR(L445)&lt;21,"Evening",TRUE,"Night")</f>
        <v>Afternoon</v>
      </c>
    </row>
    <row r="447" spans="1:22" x14ac:dyDescent="0.3">
      <c r="A447" t="s">
        <v>537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  <c r="R447" s="5" t="str">
        <f t="shared" si="18"/>
        <v>Low Sale</v>
      </c>
      <c r="S447" s="7">
        <f t="shared" si="19"/>
        <v>4.7619047619047619</v>
      </c>
      <c r="T447" s="7" t="str" cm="1">
        <f t="array" ref="T447">_xlfn.IFS(Q446&gt;=8,"Excellent",Q446&gt;=6,"Good",Q446&gt;=4,"Average",TRUE,"Poor")</f>
        <v>Excellent</v>
      </c>
      <c r="U447" s="9">
        <f t="shared" si="20"/>
        <v>4.3467323009155958E-4</v>
      </c>
      <c r="V447" s="7" t="str" cm="1">
        <f t="array" ref="V447">_xlfn.IFS(HOUR(L446)&lt;12,"Morning",HOUR(L446)&lt;17,"Afternoon",HOUR(L446)&lt;21,"Evening",TRUE,"Night")</f>
        <v>Morning</v>
      </c>
    </row>
    <row r="448" spans="1:22" x14ac:dyDescent="0.3">
      <c r="A448" t="s">
        <v>538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  <c r="R448" s="5" t="str">
        <f t="shared" si="18"/>
        <v>Low Sale</v>
      </c>
      <c r="S448" s="7">
        <f t="shared" si="19"/>
        <v>4.7619047619047619</v>
      </c>
      <c r="T448" s="7" t="str" cm="1">
        <f t="array" ref="T448">_xlfn.IFS(Q447&gt;=8,"Excellent",Q447&gt;=6,"Good",Q447&gt;=4,"Average",TRUE,"Poor")</f>
        <v>Excellent</v>
      </c>
      <c r="U448" s="9">
        <f t="shared" si="20"/>
        <v>6.2258731161206937E-5</v>
      </c>
      <c r="V448" s="7" t="str" cm="1">
        <f t="array" ref="V448">_xlfn.IFS(HOUR(L447)&lt;12,"Morning",HOUR(L447)&lt;17,"Afternoon",HOUR(L447)&lt;21,"Evening",TRUE,"Night")</f>
        <v>Evening</v>
      </c>
    </row>
    <row r="449" spans="1:22" x14ac:dyDescent="0.3">
      <c r="A449" t="s">
        <v>539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  <c r="R449" s="5" t="str">
        <f t="shared" si="18"/>
        <v>Low Sale</v>
      </c>
      <c r="S449" s="7">
        <f t="shared" si="19"/>
        <v>4.7619047619047619</v>
      </c>
      <c r="T449" s="7" t="str" cm="1">
        <f t="array" ref="T449">_xlfn.IFS(Q448&gt;=8,"Excellent",Q448&gt;=6,"Good",Q448&gt;=4,"Average",TRUE,"Poor")</f>
        <v>Excellent</v>
      </c>
      <c r="U449" s="9">
        <f t="shared" si="20"/>
        <v>8.9925666000991312E-4</v>
      </c>
      <c r="V449" s="7" t="str" cm="1">
        <f t="array" ref="V449">_xlfn.IFS(HOUR(L448)&lt;12,"Morning",HOUR(L448)&lt;17,"Afternoon",HOUR(L448)&lt;21,"Evening",TRUE,"Night")</f>
        <v>Morning</v>
      </c>
    </row>
    <row r="450" spans="1:22" x14ac:dyDescent="0.3">
      <c r="A450" t="s">
        <v>540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  <c r="R450" s="5" t="str">
        <f t="shared" si="18"/>
        <v>Low Sale</v>
      </c>
      <c r="S450" s="7">
        <f t="shared" si="19"/>
        <v>4.7619047619047628</v>
      </c>
      <c r="T450" s="7" t="str" cm="1">
        <f t="array" ref="T450">_xlfn.IFS(Q449&gt;=8,"Excellent",Q449&gt;=6,"Good",Q449&gt;=4,"Average",TRUE,"Poor")</f>
        <v>Good</v>
      </c>
      <c r="U450" s="9">
        <f t="shared" si="20"/>
        <v>4.4611713263398506E-4</v>
      </c>
      <c r="V450" s="7" t="str" cm="1">
        <f t="array" ref="V450">_xlfn.IFS(HOUR(L449)&lt;12,"Morning",HOUR(L449)&lt;17,"Afternoon",HOUR(L449)&lt;21,"Evening",TRUE,"Night")</f>
        <v>Evening</v>
      </c>
    </row>
    <row r="451" spans="1:22" x14ac:dyDescent="0.3">
      <c r="A451" t="s">
        <v>541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  <c r="R451" s="5" t="str">
        <f t="shared" si="18"/>
        <v>Low Sale</v>
      </c>
      <c r="S451" s="7">
        <f t="shared" si="19"/>
        <v>4.7619047619047619</v>
      </c>
      <c r="T451" s="7" t="str" cm="1">
        <f t="array" ref="T451">_xlfn.IFS(Q450&gt;=8,"Excellent",Q450&gt;=6,"Good",Q450&gt;=4,"Average",TRUE,"Poor")</f>
        <v>Average</v>
      </c>
      <c r="U451" s="9">
        <f t="shared" si="20"/>
        <v>8.8007511881664307E-5</v>
      </c>
      <c r="V451" s="7" t="str" cm="1">
        <f t="array" ref="V451">_xlfn.IFS(HOUR(L450)&lt;12,"Morning",HOUR(L450)&lt;17,"Afternoon",HOUR(L450)&lt;21,"Evening",TRUE,"Night")</f>
        <v>Evening</v>
      </c>
    </row>
    <row r="452" spans="1:22" x14ac:dyDescent="0.3">
      <c r="A452" t="s">
        <v>542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  <c r="R452" s="5" t="str">
        <f t="shared" ref="R452:R515" si="21">IF(J451&gt;=1000,"High Sale",IF(J451&gt;=500,"Medium Sale","Low Sale"))</f>
        <v>Low Sale</v>
      </c>
      <c r="S452" s="7">
        <f t="shared" ref="S452:S515" si="22">(P451/J451)*100</f>
        <v>4.7619047619047619</v>
      </c>
      <c r="T452" s="7" t="str" cm="1">
        <f t="array" ref="T452">_xlfn.IFS(Q451&gt;=8,"Excellent",Q451&gt;=6,"Good",Q451&gt;=4,"Average",TRUE,"Poor")</f>
        <v>Excellent</v>
      </c>
      <c r="U452" s="9">
        <f t="shared" ref="U452:U515" si="23">J451/SUM($J$2:$J$1001)</f>
        <v>1.271833714374107E-4</v>
      </c>
      <c r="V452" s="7" t="str" cm="1">
        <f t="array" ref="V452">_xlfn.IFS(HOUR(L451)&lt;12,"Morning",HOUR(L451)&lt;17,"Afternoon",HOUR(L451)&lt;21,"Evening",TRUE,"Night")</f>
        <v>Morning</v>
      </c>
    </row>
    <row r="453" spans="1:22" x14ac:dyDescent="0.3">
      <c r="A453" t="s">
        <v>543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  <c r="R453" s="5" t="str">
        <f t="shared" si="21"/>
        <v>Low Sale</v>
      </c>
      <c r="S453" s="7">
        <f t="shared" si="22"/>
        <v>4.7619047619047619</v>
      </c>
      <c r="T453" s="7" t="str" cm="1">
        <f t="array" ref="T453">_xlfn.IFS(Q452&gt;=8,"Excellent",Q452&gt;=6,"Good",Q452&gt;=4,"Average",TRUE,"Poor")</f>
        <v>Good</v>
      </c>
      <c r="U453" s="9">
        <f t="shared" si="23"/>
        <v>1.4573419754737658E-3</v>
      </c>
      <c r="V453" s="7" t="str" cm="1">
        <f t="array" ref="V453">_xlfn.IFS(HOUR(L452)&lt;12,"Morning",HOUR(L452)&lt;17,"Afternoon",HOUR(L452)&lt;21,"Evening",TRUE,"Night")</f>
        <v>Evening</v>
      </c>
    </row>
    <row r="454" spans="1:22" x14ac:dyDescent="0.3">
      <c r="A454" t="s">
        <v>544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  <c r="R454" s="5" t="str">
        <f t="shared" si="21"/>
        <v>Low Sale</v>
      </c>
      <c r="S454" s="7">
        <f t="shared" si="22"/>
        <v>4.7619047619047619</v>
      </c>
      <c r="T454" s="7" t="str" cm="1">
        <f t="array" ref="T454">_xlfn.IFS(Q453&gt;=8,"Excellent",Q453&gt;=6,"Good",Q453&gt;=4,"Average",TRUE,"Poor")</f>
        <v>Good</v>
      </c>
      <c r="U454" s="9">
        <f t="shared" si="23"/>
        <v>4.2934141186156592E-4</v>
      </c>
      <c r="V454" s="7" t="str" cm="1">
        <f t="array" ref="V454">_xlfn.IFS(HOUR(L453)&lt;12,"Morning",HOUR(L453)&lt;17,"Afternoon",HOUR(L453)&lt;21,"Evening",TRUE,"Night")</f>
        <v>Evening</v>
      </c>
    </row>
    <row r="455" spans="1:22" x14ac:dyDescent="0.3">
      <c r="A455" t="s">
        <v>545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  <c r="R455" s="5" t="str">
        <f t="shared" si="21"/>
        <v>Low Sale</v>
      </c>
      <c r="S455" s="7">
        <f t="shared" si="22"/>
        <v>4.7619047619047628</v>
      </c>
      <c r="T455" s="7" t="str" cm="1">
        <f t="array" ref="T455">_xlfn.IFS(Q454&gt;=8,"Excellent",Q454&gt;=6,"Good",Q454&gt;=4,"Average",TRUE,"Poor")</f>
        <v>Average</v>
      </c>
      <c r="U455" s="9">
        <f t="shared" si="23"/>
        <v>1.034015114664327E-3</v>
      </c>
      <c r="V455" s="7" t="str" cm="1">
        <f t="array" ref="V455">_xlfn.IFS(HOUR(L454)&lt;12,"Morning",HOUR(L454)&lt;17,"Afternoon",HOUR(L454)&lt;21,"Evening",TRUE,"Night")</f>
        <v>Afternoon</v>
      </c>
    </row>
    <row r="456" spans="1:22" x14ac:dyDescent="0.3">
      <c r="A456" t="s">
        <v>546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308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  <c r="R456" s="5" t="str">
        <f t="shared" si="21"/>
        <v>Low Sale</v>
      </c>
      <c r="S456" s="7">
        <f t="shared" si="22"/>
        <v>4.7619047619047619</v>
      </c>
      <c r="T456" s="7" t="str" cm="1">
        <f t="array" ref="T456">_xlfn.IFS(Q455&gt;=8,"Excellent",Q455&gt;=6,"Good",Q455&gt;=4,"Average",TRUE,"Poor")</f>
        <v>Average</v>
      </c>
      <c r="U456" s="9">
        <f t="shared" si="23"/>
        <v>8.1277716920635679E-5</v>
      </c>
      <c r="V456" s="7" t="str" cm="1">
        <f t="array" ref="V456">_xlfn.IFS(HOUR(L455)&lt;12,"Morning",HOUR(L455)&lt;17,"Afternoon",HOUR(L455)&lt;21,"Evening",TRUE,"Night")</f>
        <v>Afternoon</v>
      </c>
    </row>
    <row r="457" spans="1:22" x14ac:dyDescent="0.3">
      <c r="A457" t="s">
        <v>547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260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  <c r="R457" s="5" t="str">
        <f t="shared" si="21"/>
        <v>Low Sale</v>
      </c>
      <c r="S457" s="7">
        <f t="shared" si="22"/>
        <v>4.7619047619047628</v>
      </c>
      <c r="T457" s="7" t="str" cm="1">
        <f t="array" ref="T457">_xlfn.IFS(Q456&gt;=8,"Excellent",Q456&gt;=6,"Good",Q456&gt;=4,"Average",TRUE,"Poor")</f>
        <v>Average</v>
      </c>
      <c r="U457" s="9">
        <f t="shared" si="23"/>
        <v>2.7010210887065645E-4</v>
      </c>
      <c r="V457" s="7" t="str" cm="1">
        <f t="array" ref="V457">_xlfn.IFS(HOUR(L456)&lt;12,"Morning",HOUR(L456)&lt;17,"Afternoon",HOUR(L456)&lt;21,"Evening",TRUE,"Night")</f>
        <v>Afternoon</v>
      </c>
    </row>
    <row r="458" spans="1:22" x14ac:dyDescent="0.3">
      <c r="A458" t="s">
        <v>548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  <c r="R458" s="5" t="str">
        <f t="shared" si="21"/>
        <v>Low Sale</v>
      </c>
      <c r="S458" s="7">
        <f t="shared" si="22"/>
        <v>4.7619047619047619</v>
      </c>
      <c r="T458" s="7" t="str" cm="1">
        <f t="array" ref="T458">_xlfn.IFS(Q457&gt;=8,"Excellent",Q457&gt;=6,"Good",Q457&gt;=4,"Average",TRUE,"Poor")</f>
        <v>Good</v>
      </c>
      <c r="U458" s="9">
        <f t="shared" si="23"/>
        <v>4.8051386243479807E-4</v>
      </c>
      <c r="V458" s="7" t="str" cm="1">
        <f t="array" ref="V458">_xlfn.IFS(HOUR(L457)&lt;12,"Morning",HOUR(L457)&lt;17,"Afternoon",HOUR(L457)&lt;21,"Evening",TRUE,"Night")</f>
        <v>Afternoon</v>
      </c>
    </row>
    <row r="459" spans="1:22" x14ac:dyDescent="0.3">
      <c r="A459" t="s">
        <v>549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  <c r="R459" s="5" t="str">
        <f t="shared" si="21"/>
        <v>Medium Sale</v>
      </c>
      <c r="S459" s="7">
        <f t="shared" si="22"/>
        <v>4.7619047619047628</v>
      </c>
      <c r="T459" s="7" t="str" cm="1">
        <f t="array" ref="T459">_xlfn.IFS(Q458&gt;=8,"Excellent",Q458&gt;=6,"Good",Q458&gt;=4,"Average",TRUE,"Poor")</f>
        <v>Average</v>
      </c>
      <c r="U459" s="9">
        <f t="shared" si="23"/>
        <v>2.264722304276592E-3</v>
      </c>
      <c r="V459" s="7" t="str" cm="1">
        <f t="array" ref="V459">_xlfn.IFS(HOUR(L458)&lt;12,"Morning",HOUR(L458)&lt;17,"Afternoon",HOUR(L458)&lt;21,"Evening",TRUE,"Night")</f>
        <v>Afternoon</v>
      </c>
    </row>
    <row r="460" spans="1:22" x14ac:dyDescent="0.3">
      <c r="A460" t="s">
        <v>550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  <c r="R460" s="5" t="str">
        <f t="shared" si="21"/>
        <v>Medium Sale</v>
      </c>
      <c r="S460" s="7">
        <f t="shared" si="22"/>
        <v>4.7619047619047619</v>
      </c>
      <c r="T460" s="7" t="str" cm="1">
        <f t="array" ref="T460">_xlfn.IFS(Q459&gt;=8,"Excellent",Q459&gt;=6,"Good",Q459&gt;=4,"Average",TRUE,"Poor")</f>
        <v>Good</v>
      </c>
      <c r="U460" s="9">
        <f t="shared" si="23"/>
        <v>2.5810551785317064E-3</v>
      </c>
      <c r="V460" s="7" t="str" cm="1">
        <f t="array" ref="V460">_xlfn.IFS(HOUR(L459)&lt;12,"Morning",HOUR(L459)&lt;17,"Afternoon",HOUR(L459)&lt;21,"Evening",TRUE,"Night")</f>
        <v>Evening</v>
      </c>
    </row>
    <row r="461" spans="1:22" x14ac:dyDescent="0.3">
      <c r="A461" t="s">
        <v>551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  <c r="R461" s="5" t="str">
        <f t="shared" si="21"/>
        <v>Low Sale</v>
      </c>
      <c r="S461" s="7">
        <f t="shared" si="22"/>
        <v>4.7619047619047619</v>
      </c>
      <c r="T461" s="7" t="str" cm="1">
        <f t="array" ref="T461">_xlfn.IFS(Q460&gt;=8,"Excellent",Q460&gt;=6,"Good",Q460&gt;=4,"Average",TRUE,"Poor")</f>
        <v>Good</v>
      </c>
      <c r="U461" s="9">
        <f t="shared" si="23"/>
        <v>1.5140413107976015E-3</v>
      </c>
      <c r="V461" s="7" t="str" cm="1">
        <f t="array" ref="V461">_xlfn.IFS(HOUR(L460)&lt;12,"Morning",HOUR(L460)&lt;17,"Afternoon",HOUR(L460)&lt;21,"Evening",TRUE,"Night")</f>
        <v>Afternoon</v>
      </c>
    </row>
    <row r="462" spans="1:22" x14ac:dyDescent="0.3">
      <c r="A462" t="s">
        <v>552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  <c r="R462" s="5" t="str">
        <f t="shared" si="21"/>
        <v>Low Sale</v>
      </c>
      <c r="S462" s="7">
        <f t="shared" si="22"/>
        <v>4.7619047619047619</v>
      </c>
      <c r="T462" s="7" t="str" cm="1">
        <f t="array" ref="T462">_xlfn.IFS(Q461&gt;=8,"Excellent",Q461&gt;=6,"Good",Q461&gt;=4,"Average",TRUE,"Poor")</f>
        <v>Good</v>
      </c>
      <c r="U462" s="9">
        <f t="shared" si="23"/>
        <v>1.1668229041126457E-4</v>
      </c>
      <c r="V462" s="7" t="str" cm="1">
        <f t="array" ref="V462">_xlfn.IFS(HOUR(L461)&lt;12,"Morning",HOUR(L461)&lt;17,"Afternoon",HOUR(L461)&lt;21,"Evening",TRUE,"Night")</f>
        <v>Afternoon</v>
      </c>
    </row>
    <row r="463" spans="1:22" x14ac:dyDescent="0.3">
      <c r="A463" t="s">
        <v>553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5" t="str">
        <f t="shared" si="21"/>
        <v>Low Sale</v>
      </c>
      <c r="S463" s="7">
        <f t="shared" si="22"/>
        <v>4.7619047619047628</v>
      </c>
      <c r="T463" s="7" t="str" cm="1">
        <f t="array" ref="T463">_xlfn.IFS(Q462&gt;=8,"Excellent",Q462&gt;=6,"Good",Q462&gt;=4,"Average",TRUE,"Poor")</f>
        <v>Average</v>
      </c>
      <c r="U463" s="9">
        <f t="shared" si="23"/>
        <v>6.5867461792483146E-4</v>
      </c>
      <c r="V463" s="7" t="str" cm="1">
        <f t="array" ref="V463">_xlfn.IFS(HOUR(L462)&lt;12,"Morning",HOUR(L462)&lt;17,"Afternoon",HOUR(L462)&lt;21,"Evening",TRUE,"Night")</f>
        <v>Afternoon</v>
      </c>
    </row>
    <row r="464" spans="1:22" x14ac:dyDescent="0.3">
      <c r="A464" t="s">
        <v>554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  <c r="R464" s="5" t="str">
        <f t="shared" si="21"/>
        <v>Medium Sale</v>
      </c>
      <c r="S464" s="7">
        <f t="shared" si="22"/>
        <v>4.7619047619047619</v>
      </c>
      <c r="T464" s="7" t="str" cm="1">
        <f t="array" ref="T464">_xlfn.IFS(Q463&gt;=8,"Excellent",Q463&gt;=6,"Good",Q463&gt;=4,"Average",TRUE,"Poor")</f>
        <v>Excellent</v>
      </c>
      <c r="U464" s="9">
        <f t="shared" si="23"/>
        <v>2.3749348884209744E-3</v>
      </c>
      <c r="V464" s="7" t="str" cm="1">
        <f t="array" ref="V464">_xlfn.IFS(HOUR(L463)&lt;12,"Morning",HOUR(L463)&lt;17,"Afternoon",HOUR(L463)&lt;21,"Evening",TRUE,"Night")</f>
        <v>Afternoon</v>
      </c>
    </row>
    <row r="465" spans="1:22" x14ac:dyDescent="0.3">
      <c r="A465" t="s">
        <v>555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  <c r="R465" s="5" t="str">
        <f t="shared" si="21"/>
        <v>Low Sale</v>
      </c>
      <c r="S465" s="7">
        <f t="shared" si="22"/>
        <v>4.7619047619047628</v>
      </c>
      <c r="T465" s="7" t="str" cm="1">
        <f t="array" ref="T465">_xlfn.IFS(Q464&gt;=8,"Excellent",Q464&gt;=6,"Good",Q464&gt;=4,"Average",TRUE,"Poor")</f>
        <v>Good</v>
      </c>
      <c r="U465" s="9">
        <f t="shared" si="23"/>
        <v>9.6167794660496117E-4</v>
      </c>
      <c r="V465" s="7" t="str" cm="1">
        <f t="array" ref="V465">_xlfn.IFS(HOUR(L464)&lt;12,"Morning",HOUR(L464)&lt;17,"Afternoon",HOUR(L464)&lt;21,"Evening",TRUE,"Night")</f>
        <v>Morning</v>
      </c>
    </row>
    <row r="466" spans="1:22" x14ac:dyDescent="0.3">
      <c r="A466" t="s">
        <v>556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  <c r="R466" s="5" t="str">
        <f t="shared" si="21"/>
        <v>Low Sale</v>
      </c>
      <c r="S466" s="7">
        <f t="shared" si="22"/>
        <v>4.7619047619047619</v>
      </c>
      <c r="T466" s="7" t="str" cm="1">
        <f t="array" ref="T466">_xlfn.IFS(Q465&gt;=8,"Excellent",Q465&gt;=6,"Good",Q465&gt;=4,"Average",TRUE,"Poor")</f>
        <v>Good</v>
      </c>
      <c r="U466" s="9">
        <f t="shared" si="23"/>
        <v>7.3540078269791165E-5</v>
      </c>
      <c r="V466" s="7" t="str" cm="1">
        <f t="array" ref="V466">_xlfn.IFS(HOUR(L465)&lt;12,"Morning",HOUR(L465)&lt;17,"Afternoon",HOUR(L465)&lt;21,"Evening",TRUE,"Night")</f>
        <v>Evening</v>
      </c>
    </row>
    <row r="467" spans="1:22" x14ac:dyDescent="0.3">
      <c r="A467" t="s">
        <v>557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  <c r="R467" s="5" t="str">
        <f t="shared" si="21"/>
        <v>Low Sale</v>
      </c>
      <c r="S467" s="7">
        <f t="shared" si="22"/>
        <v>4.7619047619047619</v>
      </c>
      <c r="T467" s="7" t="str" cm="1">
        <f t="array" ref="T467">_xlfn.IFS(Q466&gt;=8,"Excellent",Q466&gt;=6,"Good",Q466&gt;=4,"Average",TRUE,"Poor")</f>
        <v>Excellent</v>
      </c>
      <c r="U467" s="9">
        <f t="shared" si="23"/>
        <v>8.345595973410872E-4</v>
      </c>
      <c r="V467" s="7" t="str" cm="1">
        <f t="array" ref="V467">_xlfn.IFS(HOUR(L466)&lt;12,"Morning",HOUR(L466)&lt;17,"Afternoon",HOUR(L466)&lt;21,"Evening",TRUE,"Night")</f>
        <v>Afternoon</v>
      </c>
    </row>
    <row r="468" spans="1:22" x14ac:dyDescent="0.3">
      <c r="A468" t="s">
        <v>558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  <c r="R468" s="5" t="str">
        <f t="shared" si="21"/>
        <v>Medium Sale</v>
      </c>
      <c r="S468" s="7">
        <f t="shared" si="22"/>
        <v>4.7619047619047619</v>
      </c>
      <c r="T468" s="7" t="str" cm="1">
        <f t="array" ref="T468">_xlfn.IFS(Q467&gt;=8,"Excellent",Q467&gt;=6,"Good",Q467&gt;=4,"Average",TRUE,"Poor")</f>
        <v>Good</v>
      </c>
      <c r="U468" s="9">
        <f t="shared" si="23"/>
        <v>1.7734797832082703E-3</v>
      </c>
      <c r="V468" s="7" t="str" cm="1">
        <f t="array" ref="V468">_xlfn.IFS(HOUR(L467)&lt;12,"Morning",HOUR(L467)&lt;17,"Afternoon",HOUR(L467)&lt;21,"Evening",TRUE,"Night")</f>
        <v>Morning</v>
      </c>
    </row>
    <row r="469" spans="1:22" x14ac:dyDescent="0.3">
      <c r="A469" t="s">
        <v>559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  <c r="R469" s="5" t="str">
        <f t="shared" si="21"/>
        <v>Low Sale</v>
      </c>
      <c r="S469" s="7">
        <f t="shared" si="22"/>
        <v>4.7619047619047619</v>
      </c>
      <c r="T469" s="7" t="str" cm="1">
        <f t="array" ref="T469">_xlfn.IFS(Q468&gt;=8,"Excellent",Q468&gt;=6,"Good",Q468&gt;=4,"Average",TRUE,"Poor")</f>
        <v>Good</v>
      </c>
      <c r="U469" s="9">
        <f t="shared" si="23"/>
        <v>8.4545081140845234E-4</v>
      </c>
      <c r="V469" s="7" t="str" cm="1">
        <f t="array" ref="V469">_xlfn.IFS(HOUR(L468)&lt;12,"Morning",HOUR(L468)&lt;17,"Afternoon",HOUR(L468)&lt;21,"Evening",TRUE,"Night")</f>
        <v>Afternoon</v>
      </c>
    </row>
    <row r="470" spans="1:22" x14ac:dyDescent="0.3">
      <c r="A470" t="s">
        <v>560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  <c r="R470" s="5" t="str">
        <f t="shared" si="21"/>
        <v>Low Sale</v>
      </c>
      <c r="S470" s="7">
        <f t="shared" si="22"/>
        <v>4.7619047619047619</v>
      </c>
      <c r="T470" s="7" t="str" cm="1">
        <f t="array" ref="T470">_xlfn.IFS(Q469&gt;=8,"Excellent",Q469&gt;=6,"Good",Q469&gt;=4,"Average",TRUE,"Poor")</f>
        <v>Average</v>
      </c>
      <c r="U470" s="9">
        <f t="shared" si="23"/>
        <v>7.2213625929646382E-4</v>
      </c>
      <c r="V470" s="7" t="str" cm="1">
        <f t="array" ref="V470">_xlfn.IFS(HOUR(L469)&lt;12,"Morning",HOUR(L469)&lt;17,"Afternoon",HOUR(L469)&lt;21,"Evening",TRUE,"Night")</f>
        <v>Evening</v>
      </c>
    </row>
    <row r="471" spans="1:22" x14ac:dyDescent="0.3">
      <c r="A471" t="s">
        <v>561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  <c r="R471" s="5" t="str">
        <f t="shared" si="21"/>
        <v>Low Sale</v>
      </c>
      <c r="S471" s="7">
        <f t="shared" si="22"/>
        <v>4.7619047619047619</v>
      </c>
      <c r="T471" s="7" t="str" cm="1">
        <f t="array" ref="T471">_xlfn.IFS(Q470&gt;=8,"Excellent",Q470&gt;=6,"Good",Q470&gt;=4,"Average",TRUE,"Poor")</f>
        <v>Good</v>
      </c>
      <c r="U471" s="9">
        <f t="shared" si="23"/>
        <v>7.0158925245892708E-5</v>
      </c>
      <c r="V471" s="7" t="str" cm="1">
        <f t="array" ref="V471">_xlfn.IFS(HOUR(L470)&lt;12,"Morning",HOUR(L470)&lt;17,"Afternoon",HOUR(L470)&lt;21,"Evening",TRUE,"Night")</f>
        <v>Morning</v>
      </c>
    </row>
    <row r="472" spans="1:22" x14ac:dyDescent="0.3">
      <c r="A472" t="s">
        <v>562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  <c r="R472" s="5" t="str">
        <f t="shared" si="21"/>
        <v>Low Sale</v>
      </c>
      <c r="S472" s="7">
        <f t="shared" si="22"/>
        <v>4.7619047619047628</v>
      </c>
      <c r="T472" s="7" t="str" cm="1">
        <f t="array" ref="T472">_xlfn.IFS(Q471&gt;=8,"Excellent",Q471&gt;=6,"Good",Q471&gt;=4,"Average",TRUE,"Poor")</f>
        <v>Excellent</v>
      </c>
      <c r="U472" s="9">
        <f t="shared" si="23"/>
        <v>3.213395816174252E-4</v>
      </c>
      <c r="V472" s="7" t="str" cm="1">
        <f t="array" ref="V472">_xlfn.IFS(HOUR(L471)&lt;12,"Morning",HOUR(L471)&lt;17,"Afternoon",HOUR(L471)&lt;21,"Evening",TRUE,"Night")</f>
        <v>Morning</v>
      </c>
    </row>
    <row r="473" spans="1:22" x14ac:dyDescent="0.3">
      <c r="A473" t="s">
        <v>563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  <c r="R473" s="5" t="str">
        <f t="shared" si="21"/>
        <v>Medium Sale</v>
      </c>
      <c r="S473" s="7">
        <f t="shared" si="22"/>
        <v>4.7619047619047628</v>
      </c>
      <c r="T473" s="7" t="str" cm="1">
        <f t="array" ref="T473">_xlfn.IFS(Q472&gt;=8,"Excellent",Q472&gt;=6,"Good",Q472&gt;=4,"Average",TRUE,"Poor")</f>
        <v>Average</v>
      </c>
      <c r="U473" s="9">
        <f t="shared" si="23"/>
        <v>1.634072243145996E-3</v>
      </c>
      <c r="V473" s="7" t="str" cm="1">
        <f t="array" ref="V473">_xlfn.IFS(HOUR(L472)&lt;12,"Morning",HOUR(L472)&lt;17,"Afternoon",HOUR(L472)&lt;21,"Evening",TRUE,"Night")</f>
        <v>Afternoon</v>
      </c>
    </row>
    <row r="474" spans="1:22" x14ac:dyDescent="0.3">
      <c r="A474" t="s">
        <v>564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  <c r="R474" s="5" t="str">
        <f t="shared" si="21"/>
        <v>Low Sale</v>
      </c>
      <c r="S474" s="7">
        <f t="shared" si="22"/>
        <v>4.7619047619047619</v>
      </c>
      <c r="T474" s="7" t="str" cm="1">
        <f t="array" ref="T474">_xlfn.IFS(Q473&gt;=8,"Excellent",Q473&gt;=6,"Good",Q473&gt;=4,"Average",TRUE,"Poor")</f>
        <v>Excellent</v>
      </c>
      <c r="U474" s="9">
        <f t="shared" si="23"/>
        <v>5.2082761002743337E-4</v>
      </c>
      <c r="V474" s="7" t="str" cm="1">
        <f t="array" ref="V474">_xlfn.IFS(HOUR(L473)&lt;12,"Morning",HOUR(L473)&lt;17,"Afternoon",HOUR(L473)&lt;21,"Evening",TRUE,"Night")</f>
        <v>Morning</v>
      </c>
    </row>
    <row r="475" spans="1:22" x14ac:dyDescent="0.3">
      <c r="A475" t="s">
        <v>565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5" t="str">
        <f t="shared" si="21"/>
        <v>Low Sale</v>
      </c>
      <c r="S475" s="7">
        <f t="shared" si="22"/>
        <v>4.7619047619047628</v>
      </c>
      <c r="T475" s="7" t="str" cm="1">
        <f t="array" ref="T475">_xlfn.IFS(Q474&gt;=8,"Excellent",Q474&gt;=6,"Good",Q474&gt;=4,"Average",TRUE,"Poor")</f>
        <v>Average</v>
      </c>
      <c r="U475" s="9">
        <f t="shared" si="23"/>
        <v>1.4022031723148066E-3</v>
      </c>
      <c r="V475" s="7" t="str" cm="1">
        <f t="array" ref="V475">_xlfn.IFS(HOUR(L474)&lt;12,"Morning",HOUR(L474)&lt;17,"Afternoon",HOUR(L474)&lt;21,"Evening",TRUE,"Night")</f>
        <v>Evening</v>
      </c>
    </row>
    <row r="476" spans="1:22" x14ac:dyDescent="0.3">
      <c r="A476" t="s">
        <v>566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  <c r="R476" s="5" t="str">
        <f t="shared" si="21"/>
        <v>Medium Sale</v>
      </c>
      <c r="S476" s="7">
        <f t="shared" si="22"/>
        <v>4.7619047619047619</v>
      </c>
      <c r="T476" s="7" t="str" cm="1">
        <f t="array" ref="T476">_xlfn.IFS(Q475&gt;=8,"Excellent",Q475&gt;=6,"Good",Q475&gt;=4,"Average",TRUE,"Poor")</f>
        <v>Average</v>
      </c>
      <c r="U476" s="9">
        <f t="shared" si="23"/>
        <v>1.8874636534177698E-3</v>
      </c>
      <c r="V476" s="7" t="str" cm="1">
        <f t="array" ref="V476">_xlfn.IFS(HOUR(L475)&lt;12,"Morning",HOUR(L475)&lt;17,"Afternoon",HOUR(L475)&lt;21,"Evening",TRUE,"Night")</f>
        <v>Evening</v>
      </c>
    </row>
    <row r="477" spans="1:22" x14ac:dyDescent="0.3">
      <c r="A477" t="s">
        <v>567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  <c r="R477" s="5" t="str">
        <f t="shared" si="21"/>
        <v>Low Sale</v>
      </c>
      <c r="S477" s="7">
        <f t="shared" si="22"/>
        <v>4.7619047619047619</v>
      </c>
      <c r="T477" s="7" t="str" cm="1">
        <f t="array" ref="T477">_xlfn.IFS(Q476&gt;=8,"Excellent",Q476&gt;=6,"Good",Q476&gt;=4,"Average",TRUE,"Poor")</f>
        <v>Good</v>
      </c>
      <c r="U477" s="9">
        <f t="shared" si="23"/>
        <v>1.0475072156731526E-3</v>
      </c>
      <c r="V477" s="7" t="str" cm="1">
        <f t="array" ref="V477">_xlfn.IFS(HOUR(L476)&lt;12,"Morning",HOUR(L476)&lt;17,"Afternoon",HOUR(L476)&lt;21,"Evening",TRUE,"Night")</f>
        <v>Evening</v>
      </c>
    </row>
    <row r="478" spans="1:22" x14ac:dyDescent="0.3">
      <c r="A478" t="s">
        <v>568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292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  <c r="R478" s="5" t="str">
        <f t="shared" si="21"/>
        <v>Low Sale</v>
      </c>
      <c r="S478" s="7">
        <f t="shared" si="22"/>
        <v>4.7619047619047619</v>
      </c>
      <c r="T478" s="7" t="str" cm="1">
        <f t="array" ref="T478">_xlfn.IFS(Q477&gt;=8,"Excellent",Q477&gt;=6,"Good",Q477&gt;=4,"Average",TRUE,"Poor")</f>
        <v>Good</v>
      </c>
      <c r="U478" s="9">
        <f t="shared" si="23"/>
        <v>6.35721790666444E-4</v>
      </c>
      <c r="V478" s="7" t="str" cm="1">
        <f t="array" ref="V478">_xlfn.IFS(HOUR(L477)&lt;12,"Morning",HOUR(L477)&lt;17,"Afternoon",HOUR(L477)&lt;21,"Evening",TRUE,"Night")</f>
        <v>Evening</v>
      </c>
    </row>
    <row r="479" spans="1:22" x14ac:dyDescent="0.3">
      <c r="A479" t="s">
        <v>569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  <c r="R479" s="5" t="str">
        <f t="shared" si="21"/>
        <v>Low Sale</v>
      </c>
      <c r="S479" s="7">
        <f t="shared" si="22"/>
        <v>4.7619047619047619</v>
      </c>
      <c r="T479" s="7" t="str" cm="1">
        <f t="array" ref="T479">_xlfn.IFS(Q478&gt;=8,"Excellent",Q478&gt;=6,"Good",Q478&gt;=4,"Average",TRUE,"Poor")</f>
        <v>Average</v>
      </c>
      <c r="U479" s="9">
        <f t="shared" si="23"/>
        <v>5.4065937295606856E-4</v>
      </c>
      <c r="V479" s="7" t="str" cm="1">
        <f t="array" ref="V479">_xlfn.IFS(HOUR(L478)&lt;12,"Morning",HOUR(L478)&lt;17,"Afternoon",HOUR(L478)&lt;21,"Evening",TRUE,"Night")</f>
        <v>Afternoon</v>
      </c>
    </row>
    <row r="480" spans="1:22" x14ac:dyDescent="0.3">
      <c r="A480" t="s">
        <v>570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  <c r="R480" s="5" t="str">
        <f t="shared" si="21"/>
        <v>Low Sale</v>
      </c>
      <c r="S480" s="7">
        <f t="shared" si="22"/>
        <v>4.7619047619047628</v>
      </c>
      <c r="T480" s="7" t="str" cm="1">
        <f t="array" ref="T480">_xlfn.IFS(Q479&gt;=8,"Excellent",Q479&gt;=6,"Good",Q479&gt;=4,"Average",TRUE,"Poor")</f>
        <v>Average</v>
      </c>
      <c r="U480" s="9">
        <f t="shared" si="23"/>
        <v>1.0932828258428545E-3</v>
      </c>
      <c r="V480" s="7" t="str" cm="1">
        <f t="array" ref="V480">_xlfn.IFS(HOUR(L479)&lt;12,"Morning",HOUR(L479)&lt;17,"Afternoon",HOUR(L479)&lt;21,"Evening",TRUE,"Night")</f>
        <v>Afternoon</v>
      </c>
    </row>
    <row r="481" spans="1:22" x14ac:dyDescent="0.3">
      <c r="A481" t="s">
        <v>571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  <c r="R481" s="5" t="str">
        <f t="shared" si="21"/>
        <v>Low Sale</v>
      </c>
      <c r="S481" s="7">
        <f t="shared" si="22"/>
        <v>4.7619047619047619</v>
      </c>
      <c r="T481" s="7" t="str" cm="1">
        <f t="array" ref="T481">_xlfn.IFS(Q480&gt;=8,"Excellent",Q480&gt;=6,"Good",Q480&gt;=4,"Average",TRUE,"Poor")</f>
        <v>Good</v>
      </c>
      <c r="U481" s="9">
        <f t="shared" si="23"/>
        <v>1.1174060522248991E-3</v>
      </c>
      <c r="V481" s="7" t="str" cm="1">
        <f t="array" ref="V481">_xlfn.IFS(HOUR(L480)&lt;12,"Morning",HOUR(L480)&lt;17,"Afternoon",HOUR(L480)&lt;21,"Evening",TRUE,"Night")</f>
        <v>Morning</v>
      </c>
    </row>
    <row r="482" spans="1:22" x14ac:dyDescent="0.3">
      <c r="A482" t="s">
        <v>572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  <c r="R482" s="5" t="str">
        <f t="shared" si="21"/>
        <v>Low Sale</v>
      </c>
      <c r="S482" s="7">
        <f t="shared" si="22"/>
        <v>4.7619047619047619</v>
      </c>
      <c r="T482" s="7" t="str" cm="1">
        <f t="array" ref="T482">_xlfn.IFS(Q481&gt;=8,"Excellent",Q481&gt;=6,"Good",Q481&gt;=4,"Average",TRUE,"Poor")</f>
        <v>Good</v>
      </c>
      <c r="U482" s="9">
        <f t="shared" si="23"/>
        <v>1.2549279492546147E-4</v>
      </c>
      <c r="V482" s="7" t="str" cm="1">
        <f t="array" ref="V482">_xlfn.IFS(HOUR(L481)&lt;12,"Morning",HOUR(L481)&lt;17,"Afternoon",HOUR(L481)&lt;21,"Evening",TRUE,"Night")</f>
        <v>Morning</v>
      </c>
    </row>
    <row r="483" spans="1:22" x14ac:dyDescent="0.3">
      <c r="A483" t="s">
        <v>573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  <c r="R483" s="5" t="str">
        <f t="shared" si="21"/>
        <v>Medium Sale</v>
      </c>
      <c r="S483" s="7">
        <f t="shared" si="22"/>
        <v>4.7619047619047628</v>
      </c>
      <c r="T483" s="7" t="str" cm="1">
        <f t="array" ref="T483">_xlfn.IFS(Q482&gt;=8,"Excellent",Q482&gt;=6,"Good",Q482&gt;=4,"Average",TRUE,"Poor")</f>
        <v>Excellent</v>
      </c>
      <c r="U483" s="9">
        <f t="shared" si="23"/>
        <v>1.7158051152813875E-3</v>
      </c>
      <c r="V483" s="7" t="str" cm="1">
        <f t="array" ref="V483">_xlfn.IFS(HOUR(L482)&lt;12,"Morning",HOUR(L482)&lt;17,"Afternoon",HOUR(L482)&lt;21,"Evening",TRUE,"Night")</f>
        <v>Evening</v>
      </c>
    </row>
    <row r="484" spans="1:22" x14ac:dyDescent="0.3">
      <c r="A484" t="s">
        <v>574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  <c r="R484" s="5" t="str">
        <f t="shared" si="21"/>
        <v>Low Sale</v>
      </c>
      <c r="S484" s="7">
        <f t="shared" si="22"/>
        <v>4.7619047619047619</v>
      </c>
      <c r="T484" s="7" t="str" cm="1">
        <f t="array" ref="T484">_xlfn.IFS(Q483&gt;=8,"Excellent",Q483&gt;=6,"Good",Q483&gt;=4,"Average",TRUE,"Poor")</f>
        <v>Good</v>
      </c>
      <c r="U484" s="9">
        <f t="shared" si="23"/>
        <v>1.06636364599874E-3</v>
      </c>
      <c r="V484" s="7" t="str" cm="1">
        <f t="array" ref="V484">_xlfn.IFS(HOUR(L483)&lt;12,"Morning",HOUR(L483)&lt;17,"Afternoon",HOUR(L483)&lt;21,"Evening",TRUE,"Night")</f>
        <v>Afternoon</v>
      </c>
    </row>
    <row r="485" spans="1:22" x14ac:dyDescent="0.3">
      <c r="A485" t="s">
        <v>575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  <c r="R485" s="5" t="str">
        <f t="shared" si="21"/>
        <v>Low Sale</v>
      </c>
      <c r="S485" s="7">
        <f t="shared" si="22"/>
        <v>4.7619047619047619</v>
      </c>
      <c r="T485" s="7" t="str" cm="1">
        <f t="array" ref="T485">_xlfn.IFS(Q484&gt;=8,"Excellent",Q484&gt;=6,"Good",Q484&gt;=4,"Average",TRUE,"Poor")</f>
        <v>Average</v>
      </c>
      <c r="U485" s="9">
        <f t="shared" si="23"/>
        <v>6.0373088128648186E-4</v>
      </c>
      <c r="V485" s="7" t="str" cm="1">
        <f t="array" ref="V485">_xlfn.IFS(HOUR(L484)&lt;12,"Morning",HOUR(L484)&lt;17,"Afternoon",HOUR(L484)&lt;21,"Evening",TRUE,"Night")</f>
        <v>Afternoon</v>
      </c>
    </row>
    <row r="486" spans="1:22" x14ac:dyDescent="0.3">
      <c r="A486" t="s">
        <v>576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  <c r="R486" s="5" t="str">
        <f t="shared" si="21"/>
        <v>Medium Sale</v>
      </c>
      <c r="S486" s="7">
        <f t="shared" si="22"/>
        <v>4.7619047619047628</v>
      </c>
      <c r="T486" s="7" t="str" cm="1">
        <f t="array" ref="T486">_xlfn.IFS(Q485&gt;=8,"Excellent",Q485&gt;=6,"Good",Q485&gt;=4,"Average",TRUE,"Poor")</f>
        <v>Good</v>
      </c>
      <c r="U486" s="9">
        <f t="shared" si="23"/>
        <v>1.9630194190671927E-3</v>
      </c>
      <c r="V486" s="7" t="str" cm="1">
        <f t="array" ref="V486">_xlfn.IFS(HOUR(L485)&lt;12,"Morning",HOUR(L485)&lt;17,"Afternoon",HOUR(L485)&lt;21,"Evening",TRUE,"Night")</f>
        <v>Afternoon</v>
      </c>
    </row>
    <row r="487" spans="1:22" x14ac:dyDescent="0.3">
      <c r="A487" t="s">
        <v>577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257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  <c r="R487" s="5" t="str">
        <f t="shared" si="21"/>
        <v>Low Sale</v>
      </c>
      <c r="S487" s="7">
        <f t="shared" si="22"/>
        <v>4.761904761904761</v>
      </c>
      <c r="T487" s="7" t="str" cm="1">
        <f t="array" ref="T487">_xlfn.IFS(Q486&gt;=8,"Excellent",Q486&gt;=6,"Good",Q486&gt;=4,"Average",TRUE,"Poor")</f>
        <v>Good</v>
      </c>
      <c r="U487" s="9">
        <f t="shared" si="23"/>
        <v>1.202259988690043E-3</v>
      </c>
      <c r="V487" s="7" t="str" cm="1">
        <f t="array" ref="V487">_xlfn.IFS(HOUR(L486)&lt;12,"Morning",HOUR(L486)&lt;17,"Afternoon",HOUR(L486)&lt;21,"Evening",TRUE,"Night")</f>
        <v>Evening</v>
      </c>
    </row>
    <row r="488" spans="1:22" x14ac:dyDescent="0.3">
      <c r="A488" t="s">
        <v>578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  <c r="R488" s="5" t="str">
        <f t="shared" si="21"/>
        <v>Low Sale</v>
      </c>
      <c r="S488" s="7">
        <f t="shared" si="22"/>
        <v>4.7619047619047619</v>
      </c>
      <c r="T488" s="7" t="str" cm="1">
        <f t="array" ref="T488">_xlfn.IFS(Q487&gt;=8,"Excellent",Q487&gt;=6,"Good",Q487&gt;=4,"Average",TRUE,"Poor")</f>
        <v>Good</v>
      </c>
      <c r="U488" s="9">
        <f t="shared" si="23"/>
        <v>6.435894736643615E-4</v>
      </c>
      <c r="V488" s="7" t="str" cm="1">
        <f t="array" ref="V488">_xlfn.IFS(HOUR(L487)&lt;12,"Morning",HOUR(L487)&lt;17,"Afternoon",HOUR(L487)&lt;21,"Evening",TRUE,"Night")</f>
        <v>Afternoon</v>
      </c>
    </row>
    <row r="489" spans="1:22" x14ac:dyDescent="0.3">
      <c r="A489" t="s">
        <v>579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  <c r="R489" s="5" t="str">
        <f t="shared" si="21"/>
        <v>Low Sale</v>
      </c>
      <c r="S489" s="7">
        <f t="shared" si="22"/>
        <v>4.7619047619047628</v>
      </c>
      <c r="T489" s="7" t="str" cm="1">
        <f t="array" ref="T489">_xlfn.IFS(Q488&gt;=8,"Excellent",Q488&gt;=6,"Good",Q488&gt;=4,"Average",TRUE,"Poor")</f>
        <v>Good</v>
      </c>
      <c r="U489" s="9">
        <f t="shared" si="23"/>
        <v>1.335880555307568E-3</v>
      </c>
      <c r="V489" s="7" t="str" cm="1">
        <f t="array" ref="V489">_xlfn.IFS(HOUR(L488)&lt;12,"Morning",HOUR(L488)&lt;17,"Afternoon",HOUR(L488)&lt;21,"Evening",TRUE,"Night")</f>
        <v>Afternoon</v>
      </c>
    </row>
    <row r="490" spans="1:22" x14ac:dyDescent="0.3">
      <c r="A490" t="s">
        <v>580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243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  <c r="R490" s="5" t="str">
        <f t="shared" si="21"/>
        <v>Low Sale</v>
      </c>
      <c r="S490" s="7">
        <f t="shared" si="22"/>
        <v>4.7619047619047619</v>
      </c>
      <c r="T490" s="7" t="str" cm="1">
        <f t="array" ref="T490">_xlfn.IFS(Q489&gt;=8,"Excellent",Q489&gt;=6,"Good",Q489&gt;=4,"Average",TRUE,"Poor")</f>
        <v>Excellent</v>
      </c>
      <c r="U490" s="9">
        <f t="shared" si="23"/>
        <v>4.8311474937625846E-4</v>
      </c>
      <c r="V490" s="7" t="str" cm="1">
        <f t="array" ref="V490">_xlfn.IFS(HOUR(L489)&lt;12,"Morning",HOUR(L489)&lt;17,"Afternoon",HOUR(L489)&lt;21,"Evening",TRUE,"Night")</f>
        <v>Evening</v>
      </c>
    </row>
    <row r="491" spans="1:22" x14ac:dyDescent="0.3">
      <c r="A491" t="s">
        <v>581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5" t="str">
        <f t="shared" si="21"/>
        <v>Low Sale</v>
      </c>
      <c r="S491" s="7">
        <f t="shared" si="22"/>
        <v>4.7619047619047619</v>
      </c>
      <c r="T491" s="7" t="str" cm="1">
        <f t="array" ref="T491">_xlfn.IFS(Q490&gt;=8,"Excellent",Q490&gt;=6,"Good",Q490&gt;=4,"Average",TRUE,"Poor")</f>
        <v>Average</v>
      </c>
      <c r="U491" s="9">
        <f t="shared" si="23"/>
        <v>7.4645455219911802E-5</v>
      </c>
      <c r="V491" s="7" t="str" cm="1">
        <f t="array" ref="V491">_xlfn.IFS(HOUR(L490)&lt;12,"Morning",HOUR(L490)&lt;17,"Afternoon",HOUR(L490)&lt;21,"Evening",TRUE,"Night")</f>
        <v>Evening</v>
      </c>
    </row>
    <row r="492" spans="1:22" x14ac:dyDescent="0.3">
      <c r="A492" t="s">
        <v>582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  <c r="R492" s="5" t="str">
        <f t="shared" si="21"/>
        <v>Medium Sale</v>
      </c>
      <c r="S492" s="7">
        <f t="shared" si="22"/>
        <v>4.7619047619047628</v>
      </c>
      <c r="T492" s="7" t="str" cm="1">
        <f t="array" ref="T492">_xlfn.IFS(Q491&gt;=8,"Excellent",Q491&gt;=6,"Good",Q491&gt;=4,"Average",TRUE,"Poor")</f>
        <v>Excellent</v>
      </c>
      <c r="U492" s="9">
        <f t="shared" si="23"/>
        <v>2.2729150981421926E-3</v>
      </c>
      <c r="V492" s="7" t="str" cm="1">
        <f t="array" ref="V492">_xlfn.IFS(HOUR(L491)&lt;12,"Morning",HOUR(L491)&lt;17,"Afternoon",HOUR(L491)&lt;21,"Evening",TRUE,"Night")</f>
        <v>Afternoon</v>
      </c>
    </row>
    <row r="493" spans="1:22" x14ac:dyDescent="0.3">
      <c r="A493" t="s">
        <v>583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  <c r="R493" s="5" t="str">
        <f t="shared" si="21"/>
        <v>Low Sale</v>
      </c>
      <c r="S493" s="7">
        <f t="shared" si="22"/>
        <v>4.7619047619047619</v>
      </c>
      <c r="T493" s="7" t="str" cm="1">
        <f t="array" ref="T493">_xlfn.IFS(Q492&gt;=8,"Excellent",Q492&gt;=6,"Good",Q492&gt;=4,"Average",TRUE,"Poor")</f>
        <v>Excellent</v>
      </c>
      <c r="U493" s="9">
        <f t="shared" si="23"/>
        <v>2.2562694217168465E-4</v>
      </c>
      <c r="V493" s="7" t="str" cm="1">
        <f t="array" ref="V493">_xlfn.IFS(HOUR(L492)&lt;12,"Morning",HOUR(L492)&lt;17,"Afternoon",HOUR(L492)&lt;21,"Evening",TRUE,"Night")</f>
        <v>Evening</v>
      </c>
    </row>
    <row r="494" spans="1:22" x14ac:dyDescent="0.3">
      <c r="A494" t="s">
        <v>584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  <c r="R494" s="5" t="str">
        <f t="shared" si="21"/>
        <v>Low Sale</v>
      </c>
      <c r="S494" s="7">
        <f t="shared" si="22"/>
        <v>4.7619047619047619</v>
      </c>
      <c r="T494" s="7" t="str" cm="1">
        <f t="array" ref="T494">_xlfn.IFS(Q493&gt;=8,"Excellent",Q493&gt;=6,"Good",Q493&gt;=4,"Average",TRUE,"Poor")</f>
        <v>Good</v>
      </c>
      <c r="U494" s="9">
        <f t="shared" si="23"/>
        <v>6.3916796586387895E-4</v>
      </c>
      <c r="V494" s="7" t="str" cm="1">
        <f t="array" ref="V494">_xlfn.IFS(HOUR(L493)&lt;12,"Morning",HOUR(L493)&lt;17,"Afternoon",HOUR(L493)&lt;21,"Evening",TRUE,"Night")</f>
        <v>Evening</v>
      </c>
    </row>
    <row r="495" spans="1:22" x14ac:dyDescent="0.3">
      <c r="A495" t="s">
        <v>585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  <c r="R495" s="5" t="str">
        <f t="shared" si="21"/>
        <v>Low Sale</v>
      </c>
      <c r="S495" s="7">
        <f t="shared" si="22"/>
        <v>4.7619047619047628</v>
      </c>
      <c r="T495" s="7" t="str" cm="1">
        <f t="array" ref="T495">_xlfn.IFS(Q494&gt;=8,"Excellent",Q494&gt;=6,"Good",Q494&gt;=4,"Average",TRUE,"Poor")</f>
        <v>Excellent</v>
      </c>
      <c r="U495" s="9">
        <f t="shared" si="23"/>
        <v>6.5854457357775848E-4</v>
      </c>
      <c r="V495" s="7" t="str" cm="1">
        <f t="array" ref="V495">_xlfn.IFS(HOUR(L494)&lt;12,"Morning",HOUR(L494)&lt;17,"Afternoon",HOUR(L494)&lt;21,"Evening",TRUE,"Night")</f>
        <v>Evening</v>
      </c>
    </row>
    <row r="496" spans="1:22" x14ac:dyDescent="0.3">
      <c r="A496" t="s">
        <v>586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317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  <c r="R496" s="5" t="str">
        <f t="shared" si="21"/>
        <v>Low Sale</v>
      </c>
      <c r="S496" s="7">
        <f t="shared" si="22"/>
        <v>4.7619047619047619</v>
      </c>
      <c r="T496" s="7" t="str" cm="1">
        <f t="array" ref="T496">_xlfn.IFS(Q495&gt;=8,"Excellent",Q495&gt;=6,"Good",Q495&gt;=4,"Average",TRUE,"Poor")</f>
        <v>Excellent</v>
      </c>
      <c r="U496" s="9">
        <f t="shared" si="23"/>
        <v>3.9403437163124176E-4</v>
      </c>
      <c r="V496" s="7" t="str" cm="1">
        <f t="array" ref="V496">_xlfn.IFS(HOUR(L495)&lt;12,"Morning",HOUR(L495)&lt;17,"Afternoon",HOUR(L495)&lt;21,"Evening",TRUE,"Night")</f>
        <v>Afternoon</v>
      </c>
    </row>
    <row r="497" spans="1:22" x14ac:dyDescent="0.3">
      <c r="A497" t="s">
        <v>587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298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  <c r="R497" s="5" t="str">
        <f t="shared" si="21"/>
        <v>Low Sale</v>
      </c>
      <c r="S497" s="7">
        <f t="shared" si="22"/>
        <v>4.7619047619047628</v>
      </c>
      <c r="T497" s="7" t="str" cm="1">
        <f t="array" ref="T497">_xlfn.IFS(Q496&gt;=8,"Excellent",Q496&gt;=6,"Good",Q496&gt;=4,"Average",TRUE,"Poor")</f>
        <v>Good</v>
      </c>
      <c r="U497" s="9">
        <f t="shared" si="23"/>
        <v>6.495064914561838E-4</v>
      </c>
      <c r="V497" s="7" t="str" cm="1">
        <f t="array" ref="V497">_xlfn.IFS(HOUR(L496)&lt;12,"Morning",HOUR(L496)&lt;17,"Afternoon",HOUR(L496)&lt;21,"Evening",TRUE,"Night")</f>
        <v>Morning</v>
      </c>
    </row>
    <row r="498" spans="1:22" x14ac:dyDescent="0.3">
      <c r="A498" t="s">
        <v>588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  <c r="R498" s="5" t="str">
        <f t="shared" si="21"/>
        <v>Medium Sale</v>
      </c>
      <c r="S498" s="7">
        <f t="shared" si="22"/>
        <v>4.7619047619047628</v>
      </c>
      <c r="T498" s="7" t="str" cm="1">
        <f t="array" ref="T498">_xlfn.IFS(Q497&gt;=8,"Excellent",Q497&gt;=6,"Good",Q497&gt;=4,"Average",TRUE,"Poor")</f>
        <v>Average</v>
      </c>
      <c r="U498" s="9">
        <f t="shared" si="23"/>
        <v>1.9745933659566913E-3</v>
      </c>
      <c r="V498" s="7" t="str" cm="1">
        <f t="array" ref="V498">_xlfn.IFS(HOUR(L497)&lt;12,"Morning",HOUR(L497)&lt;17,"Afternoon",HOUR(L497)&lt;21,"Evening",TRUE,"Night")</f>
        <v>Afternoon</v>
      </c>
    </row>
    <row r="499" spans="1:22" x14ac:dyDescent="0.3">
      <c r="A499" t="s">
        <v>589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  <c r="R499" s="5" t="str">
        <f t="shared" si="21"/>
        <v>Low Sale</v>
      </c>
      <c r="S499" s="7">
        <f t="shared" si="22"/>
        <v>4.7619047619047619</v>
      </c>
      <c r="T499" s="7" t="str" cm="1">
        <f t="array" ref="T499">_xlfn.IFS(Q498&gt;=8,"Excellent",Q498&gt;=6,"Good",Q498&gt;=4,"Average",TRUE,"Poor")</f>
        <v>Excellent</v>
      </c>
      <c r="U499" s="9">
        <f t="shared" si="23"/>
        <v>4.1107018109780698E-4</v>
      </c>
      <c r="V499" s="7" t="str" cm="1">
        <f t="array" ref="V499">_xlfn.IFS(HOUR(L498)&lt;12,"Morning",HOUR(L498)&lt;17,"Afternoon",HOUR(L498)&lt;21,"Evening",TRUE,"Night")</f>
        <v>Afternoon</v>
      </c>
    </row>
    <row r="500" spans="1:22" x14ac:dyDescent="0.3">
      <c r="A500" t="s">
        <v>590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  <c r="R500" s="5" t="str">
        <f t="shared" si="21"/>
        <v>Medium Sale</v>
      </c>
      <c r="S500" s="7">
        <f t="shared" si="22"/>
        <v>4.7619047619047628</v>
      </c>
      <c r="T500" s="7" t="str" cm="1">
        <f t="array" ref="T500">_xlfn.IFS(Q499&gt;=8,"Excellent",Q499&gt;=6,"Good",Q499&gt;=4,"Average",TRUE,"Poor")</f>
        <v>Good</v>
      </c>
      <c r="U500" s="9">
        <f t="shared" si="23"/>
        <v>1.7602802819803589E-3</v>
      </c>
      <c r="V500" s="7" t="str" cm="1">
        <f t="array" ref="V500">_xlfn.IFS(HOUR(L499)&lt;12,"Morning",HOUR(L499)&lt;17,"Afternoon",HOUR(L499)&lt;21,"Evening",TRUE,"Night")</f>
        <v>Morning</v>
      </c>
    </row>
    <row r="501" spans="1:22" x14ac:dyDescent="0.3">
      <c r="A501" t="s">
        <v>591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  <c r="R501" s="5" t="str">
        <f t="shared" si="21"/>
        <v>Low Sale</v>
      </c>
      <c r="S501" s="7">
        <f t="shared" si="22"/>
        <v>4.7619047619047628</v>
      </c>
      <c r="T501" s="7" t="str" cm="1">
        <f t="array" ref="T501">_xlfn.IFS(Q500&gt;=8,"Excellent",Q500&gt;=6,"Good",Q500&gt;=4,"Average",TRUE,"Poor")</f>
        <v>Excellent</v>
      </c>
      <c r="U501" s="9">
        <f t="shared" si="23"/>
        <v>3.1903129445687913E-4</v>
      </c>
      <c r="V501" s="7" t="str" cm="1">
        <f t="array" ref="V501">_xlfn.IFS(HOUR(L500)&lt;12,"Morning",HOUR(L500)&lt;17,"Afternoon",HOUR(L500)&lt;21,"Evening",TRUE,"Night")</f>
        <v>Evening</v>
      </c>
    </row>
    <row r="502" spans="1:22" x14ac:dyDescent="0.3">
      <c r="A502" t="s">
        <v>592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  <c r="R502" s="5" t="str">
        <f t="shared" si="21"/>
        <v>Low Sale</v>
      </c>
      <c r="S502" s="7">
        <f t="shared" si="22"/>
        <v>4.7619047619047628</v>
      </c>
      <c r="T502" s="7" t="str" cm="1">
        <f t="array" ref="T502">_xlfn.IFS(Q501&gt;=8,"Excellent",Q501&gt;=6,"Good",Q501&gt;=4,"Average",TRUE,"Poor")</f>
        <v>Excellent</v>
      </c>
      <c r="U502" s="9">
        <f t="shared" si="23"/>
        <v>1.3399769522403678E-3</v>
      </c>
      <c r="V502" s="7" t="str" cm="1">
        <f t="array" ref="V502">_xlfn.IFS(HOUR(L501)&lt;12,"Morning",HOUR(L501)&lt;17,"Afternoon",HOUR(L501)&lt;21,"Evening",TRUE,"Night")</f>
        <v>Afternoon</v>
      </c>
    </row>
    <row r="503" spans="1:22" x14ac:dyDescent="0.3">
      <c r="A503" t="s">
        <v>593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  <c r="R503" s="5" t="str">
        <f t="shared" si="21"/>
        <v>Low Sale</v>
      </c>
      <c r="S503" s="7">
        <f t="shared" si="22"/>
        <v>4.7619047619047628</v>
      </c>
      <c r="T503" s="7" t="str" cm="1">
        <f t="array" ref="T503">_xlfn.IFS(Q502&gt;=8,"Excellent",Q502&gt;=6,"Good",Q502&gt;=4,"Average",TRUE,"Poor")</f>
        <v>Average</v>
      </c>
      <c r="U503" s="9">
        <f t="shared" si="23"/>
        <v>2.4048450882477681E-4</v>
      </c>
      <c r="V503" s="7" t="str" cm="1">
        <f t="array" ref="V503">_xlfn.IFS(HOUR(L502)&lt;12,"Morning",HOUR(L502)&lt;17,"Afternoon",HOUR(L502)&lt;21,"Evening",TRUE,"Night")</f>
        <v>Afternoon</v>
      </c>
    </row>
    <row r="504" spans="1:22" x14ac:dyDescent="0.3">
      <c r="A504" t="s">
        <v>594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  <c r="R504" s="5" t="str">
        <f t="shared" si="21"/>
        <v>Low Sale</v>
      </c>
      <c r="S504" s="7">
        <f t="shared" si="22"/>
        <v>4.7619047619047628</v>
      </c>
      <c r="T504" s="7" t="str" cm="1">
        <f t="array" ref="T504">_xlfn.IFS(Q503&gt;=8,"Excellent",Q503&gt;=6,"Good",Q503&gt;=4,"Average",TRUE,"Poor")</f>
        <v>Excellent</v>
      </c>
      <c r="U504" s="9">
        <f t="shared" si="23"/>
        <v>1.0371036679073111E-4</v>
      </c>
      <c r="V504" s="7" t="str" cm="1">
        <f t="array" ref="V504">_xlfn.IFS(HOUR(L503)&lt;12,"Morning",HOUR(L503)&lt;17,"Afternoon",HOUR(L503)&lt;21,"Evening",TRUE,"Night")</f>
        <v>Afternoon</v>
      </c>
    </row>
    <row r="505" spans="1:22" x14ac:dyDescent="0.3">
      <c r="A505" t="s">
        <v>595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  <c r="R505" s="5" t="str">
        <f t="shared" si="21"/>
        <v>Low Sale</v>
      </c>
      <c r="S505" s="7">
        <f t="shared" si="22"/>
        <v>4.7619047619047619</v>
      </c>
      <c r="T505" s="7" t="str" cm="1">
        <f t="array" ref="T505">_xlfn.IFS(Q504&gt;=8,"Excellent",Q504&gt;=6,"Good",Q504&gt;=4,"Average",TRUE,"Poor")</f>
        <v>Excellent</v>
      </c>
      <c r="U505" s="9">
        <f t="shared" si="23"/>
        <v>4.512538843433693E-4</v>
      </c>
      <c r="V505" s="7" t="str" cm="1">
        <f t="array" ref="V505">_xlfn.IFS(HOUR(L504)&lt;12,"Morning",HOUR(L504)&lt;17,"Afternoon",HOUR(L504)&lt;21,"Evening",TRUE,"Night")</f>
        <v>Evening</v>
      </c>
    </row>
    <row r="506" spans="1:22" x14ac:dyDescent="0.3">
      <c r="A506" t="s">
        <v>596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  <c r="R506" s="5" t="str">
        <f t="shared" si="21"/>
        <v>Low Sale</v>
      </c>
      <c r="S506" s="7">
        <f t="shared" si="22"/>
        <v>4.7619047619047619</v>
      </c>
      <c r="T506" s="7" t="str" cm="1">
        <f t="array" ref="T506">_xlfn.IFS(Q505&gt;=8,"Excellent",Q505&gt;=6,"Good",Q505&gt;=4,"Average",TRUE,"Poor")</f>
        <v>Good</v>
      </c>
      <c r="U506" s="9">
        <f t="shared" si="23"/>
        <v>6.0672190126916114E-4</v>
      </c>
      <c r="V506" s="7" t="str" cm="1">
        <f t="array" ref="V506">_xlfn.IFS(HOUR(L505)&lt;12,"Morning",HOUR(L505)&lt;17,"Afternoon",HOUR(L505)&lt;21,"Evening",TRUE,"Night")</f>
        <v>Evening</v>
      </c>
    </row>
    <row r="507" spans="1:22" x14ac:dyDescent="0.3">
      <c r="A507" t="s">
        <v>597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5" t="str">
        <f t="shared" si="21"/>
        <v>Low Sale</v>
      </c>
      <c r="S507" s="7">
        <f t="shared" si="22"/>
        <v>4.7619047619047628</v>
      </c>
      <c r="T507" s="7" t="str" cm="1">
        <f t="array" ref="T507">_xlfn.IFS(Q506&gt;=8,"Excellent",Q506&gt;=6,"Good",Q506&gt;=4,"Average",TRUE,"Poor")</f>
        <v>Excellent</v>
      </c>
      <c r="U507" s="9">
        <f t="shared" si="23"/>
        <v>2.8756056246520903E-4</v>
      </c>
      <c r="V507" s="7" t="str" cm="1">
        <f t="array" ref="V507">_xlfn.IFS(HOUR(L506)&lt;12,"Morning",HOUR(L506)&lt;17,"Afternoon",HOUR(L506)&lt;21,"Evening",TRUE,"Night")</f>
        <v>Afternoon</v>
      </c>
    </row>
    <row r="508" spans="1:22" x14ac:dyDescent="0.3">
      <c r="A508" t="s">
        <v>598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  <c r="R508" s="5" t="str">
        <f t="shared" si="21"/>
        <v>Low Sale</v>
      </c>
      <c r="S508" s="7">
        <f t="shared" si="22"/>
        <v>4.7619047619047628</v>
      </c>
      <c r="T508" s="7" t="str" cm="1">
        <f t="array" ref="T508">_xlfn.IFS(Q507&gt;=8,"Excellent",Q507&gt;=6,"Good",Q507&gt;=4,"Average",TRUE,"Poor")</f>
        <v>Excellent</v>
      </c>
      <c r="U508" s="9">
        <f t="shared" si="23"/>
        <v>6.2889446244511059E-4</v>
      </c>
      <c r="V508" s="7" t="str" cm="1">
        <f t="array" ref="V508">_xlfn.IFS(HOUR(L507)&lt;12,"Morning",HOUR(L507)&lt;17,"Afternoon",HOUR(L507)&lt;21,"Evening",TRUE,"Night")</f>
        <v>Evening</v>
      </c>
    </row>
    <row r="509" spans="1:22" x14ac:dyDescent="0.3">
      <c r="A509" t="s">
        <v>599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  <c r="R509" s="5" t="str">
        <f t="shared" si="21"/>
        <v>Low Sale</v>
      </c>
      <c r="S509" s="7">
        <f t="shared" si="22"/>
        <v>4.7619047619047619</v>
      </c>
      <c r="T509" s="7" t="str" cm="1">
        <f t="array" ref="T509">_xlfn.IFS(Q508&gt;=8,"Excellent",Q508&gt;=6,"Good",Q508&gt;=4,"Average",TRUE,"Poor")</f>
        <v>Good</v>
      </c>
      <c r="U509" s="9">
        <f t="shared" si="23"/>
        <v>4.7303631247809963E-4</v>
      </c>
      <c r="V509" s="7" t="str" cm="1">
        <f t="array" ref="V509">_xlfn.IFS(HOUR(L508)&lt;12,"Morning",HOUR(L508)&lt;17,"Afternoon",HOUR(L508)&lt;21,"Evening",TRUE,"Night")</f>
        <v>Afternoon</v>
      </c>
    </row>
    <row r="510" spans="1:22" x14ac:dyDescent="0.3">
      <c r="A510" t="s">
        <v>600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  <c r="R510" s="5" t="str">
        <f t="shared" si="21"/>
        <v>Medium Sale</v>
      </c>
      <c r="S510" s="7">
        <f t="shared" si="22"/>
        <v>4.7619047619047628</v>
      </c>
      <c r="T510" s="7" t="str" cm="1">
        <f t="array" ref="T510">_xlfn.IFS(Q509&gt;=8,"Excellent",Q509&gt;=6,"Good",Q509&gt;=4,"Average",TRUE,"Poor")</f>
        <v>Good</v>
      </c>
      <c r="U510" s="9">
        <f t="shared" si="23"/>
        <v>1.6395341057230627E-3</v>
      </c>
      <c r="V510" s="7" t="str" cm="1">
        <f t="array" ref="V510">_xlfn.IFS(HOUR(L509)&lt;12,"Morning",HOUR(L509)&lt;17,"Afternoon",HOUR(L509)&lt;21,"Evening",TRUE,"Night")</f>
        <v>Morning</v>
      </c>
    </row>
    <row r="511" spans="1:22" x14ac:dyDescent="0.3">
      <c r="A511" t="s">
        <v>601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  <c r="R511" s="5" t="str">
        <f t="shared" si="21"/>
        <v>Low Sale</v>
      </c>
      <c r="S511" s="7">
        <f t="shared" si="22"/>
        <v>4.7619047619047628</v>
      </c>
      <c r="T511" s="7" t="str" cm="1">
        <f t="array" ref="T511">_xlfn.IFS(Q510&gt;=8,"Excellent",Q510&gt;=6,"Good",Q510&gt;=4,"Average",TRUE,"Poor")</f>
        <v>Good</v>
      </c>
      <c r="U511" s="9">
        <f t="shared" si="23"/>
        <v>9.96302254013152E-4</v>
      </c>
      <c r="V511" s="7" t="str" cm="1">
        <f t="array" ref="V511">_xlfn.IFS(HOUR(L510)&lt;12,"Morning",HOUR(L510)&lt;17,"Afternoon",HOUR(L510)&lt;21,"Evening",TRUE,"Night")</f>
        <v>Afternoon</v>
      </c>
    </row>
    <row r="512" spans="1:22" x14ac:dyDescent="0.3">
      <c r="A512" t="s">
        <v>602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  <c r="R512" s="5" t="str">
        <f t="shared" si="21"/>
        <v>Low Sale</v>
      </c>
      <c r="S512" s="7">
        <f t="shared" si="22"/>
        <v>4.7619047619047628</v>
      </c>
      <c r="T512" s="7" t="str" cm="1">
        <f t="array" ref="T512">_xlfn.IFS(Q511&gt;=8,"Excellent",Q511&gt;=6,"Good",Q511&gt;=4,"Average",TRUE,"Poor")</f>
        <v>Average</v>
      </c>
      <c r="U512" s="9">
        <f t="shared" si="23"/>
        <v>3.1113110037219333E-4</v>
      </c>
      <c r="V512" s="7" t="str" cm="1">
        <f t="array" ref="V512">_xlfn.IFS(HOUR(L511)&lt;12,"Morning",HOUR(L511)&lt;17,"Afternoon",HOUR(L511)&lt;21,"Evening",TRUE,"Night")</f>
        <v>Evening</v>
      </c>
    </row>
    <row r="513" spans="1:22" x14ac:dyDescent="0.3">
      <c r="A513" t="s">
        <v>603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  <c r="R513" s="5" t="str">
        <f t="shared" si="21"/>
        <v>Medium Sale</v>
      </c>
      <c r="S513" s="7">
        <f t="shared" si="22"/>
        <v>4.7619047619047628</v>
      </c>
      <c r="T513" s="7" t="str" cm="1">
        <f t="array" ref="T513">_xlfn.IFS(Q512&gt;=8,"Excellent",Q512&gt;=6,"Good",Q512&gt;=4,"Average",TRUE,"Poor")</f>
        <v>Good</v>
      </c>
      <c r="U513" s="9">
        <f t="shared" si="23"/>
        <v>2.0650392093459744E-3</v>
      </c>
      <c r="V513" s="7" t="str" cm="1">
        <f t="array" ref="V513">_xlfn.IFS(HOUR(L512)&lt;12,"Morning",HOUR(L512)&lt;17,"Afternoon",HOUR(L512)&lt;21,"Evening",TRUE,"Night")</f>
        <v>Evening</v>
      </c>
    </row>
    <row r="514" spans="1:22" x14ac:dyDescent="0.3">
      <c r="A514" t="s">
        <v>604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5" t="str">
        <f t="shared" si="21"/>
        <v>Low Sale</v>
      </c>
      <c r="S514" s="7">
        <f t="shared" si="22"/>
        <v>4.7619047619047619</v>
      </c>
      <c r="T514" s="7" t="str" cm="1">
        <f t="array" ref="T514">_xlfn.IFS(Q513&gt;=8,"Excellent",Q513&gt;=6,"Good",Q513&gt;=4,"Average",TRUE,"Poor")</f>
        <v>Good</v>
      </c>
      <c r="U514" s="9">
        <f t="shared" si="23"/>
        <v>6.9752536661289537E-4</v>
      </c>
      <c r="V514" s="7" t="str" cm="1">
        <f t="array" ref="V514">_xlfn.IFS(HOUR(L513)&lt;12,"Morning",HOUR(L513)&lt;17,"Afternoon",HOUR(L513)&lt;21,"Evening",TRUE,"Night")</f>
        <v>Evening</v>
      </c>
    </row>
    <row r="515" spans="1:22" x14ac:dyDescent="0.3">
      <c r="A515" t="s">
        <v>605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357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  <c r="R515" s="5" t="str">
        <f t="shared" si="21"/>
        <v>Low Sale</v>
      </c>
      <c r="S515" s="7">
        <f t="shared" si="22"/>
        <v>4.7619047619047619</v>
      </c>
      <c r="T515" s="7" t="str" cm="1">
        <f t="array" ref="T515">_xlfn.IFS(Q514&gt;=8,"Excellent",Q514&gt;=6,"Good",Q514&gt;=4,"Average",TRUE,"Poor")</f>
        <v>Excellent</v>
      </c>
      <c r="U515" s="9">
        <f t="shared" si="23"/>
        <v>1.2352912528465893E-3</v>
      </c>
      <c r="V515" s="7" t="str" cm="1">
        <f t="array" ref="V515">_xlfn.IFS(HOUR(L514)&lt;12,"Morning",HOUR(L514)&lt;17,"Afternoon",HOUR(L514)&lt;21,"Evening",TRUE,"Night")</f>
        <v>Evening</v>
      </c>
    </row>
    <row r="516" spans="1:22" x14ac:dyDescent="0.3">
      <c r="A516" t="s">
        <v>606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5" t="str">
        <f t="shared" ref="R516:R579" si="24">IF(J515&gt;=1000,"High Sale",IF(J515&gt;=500,"Medium Sale","Low Sale"))</f>
        <v>Medium Sale</v>
      </c>
      <c r="S516" s="7">
        <f t="shared" ref="S516:S579" si="25">(P515/J515)*100</f>
        <v>4.7619047619047628</v>
      </c>
      <c r="T516" s="7" t="str" cm="1">
        <f t="array" ref="T516">_xlfn.IFS(Q515&gt;=8,"Excellent",Q515&gt;=6,"Good",Q515&gt;=4,"Average",TRUE,"Poor")</f>
        <v>Good</v>
      </c>
      <c r="U516" s="9">
        <f t="shared" ref="U516:U579" si="26">J515/SUM($J$2:$J$1001)</f>
        <v>2.2655350814457988E-3</v>
      </c>
      <c r="V516" s="7" t="str" cm="1">
        <f t="array" ref="V516">_xlfn.IFS(HOUR(L515)&lt;12,"Morning",HOUR(L515)&lt;17,"Afternoon",HOUR(L515)&lt;21,"Evening",TRUE,"Night")</f>
        <v>Afternoon</v>
      </c>
    </row>
    <row r="517" spans="1:22" x14ac:dyDescent="0.3">
      <c r="A517" t="s">
        <v>607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292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  <c r="R517" s="5" t="str">
        <f t="shared" si="24"/>
        <v>Low Sale</v>
      </c>
      <c r="S517" s="7">
        <f t="shared" si="25"/>
        <v>4.7619047619047619</v>
      </c>
      <c r="T517" s="7" t="str" cm="1">
        <f t="array" ref="T517">_xlfn.IFS(Q516&gt;=8,"Excellent",Q516&gt;=6,"Good",Q516&gt;=4,"Average",TRUE,"Poor")</f>
        <v>Excellent</v>
      </c>
      <c r="U517" s="9">
        <f t="shared" si="26"/>
        <v>1.3288256494788566E-3</v>
      </c>
      <c r="V517" s="7" t="str" cm="1">
        <f t="array" ref="V517">_xlfn.IFS(HOUR(L516)&lt;12,"Morning",HOUR(L516)&lt;17,"Afternoon",HOUR(L516)&lt;21,"Evening",TRUE,"Night")</f>
        <v>Evening</v>
      </c>
    </row>
    <row r="518" spans="1:22" x14ac:dyDescent="0.3">
      <c r="A518" t="s">
        <v>608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  <c r="R518" s="5" t="str">
        <f t="shared" si="24"/>
        <v>Low Sale</v>
      </c>
      <c r="S518" s="7">
        <f t="shared" si="25"/>
        <v>4.7619047619047619</v>
      </c>
      <c r="T518" s="7" t="str" cm="1">
        <f t="array" ref="T518">_xlfn.IFS(Q517&gt;=8,"Excellent",Q517&gt;=6,"Good",Q517&gt;=4,"Average",TRUE,"Poor")</f>
        <v>Excellent</v>
      </c>
      <c r="U518" s="9">
        <f t="shared" si="26"/>
        <v>1.6733456359620472E-4</v>
      </c>
      <c r="V518" s="7" t="str" cm="1">
        <f t="array" ref="V518">_xlfn.IFS(HOUR(L517)&lt;12,"Morning",HOUR(L517)&lt;17,"Afternoon",HOUR(L517)&lt;21,"Evening",TRUE,"Night")</f>
        <v>Afternoon</v>
      </c>
    </row>
    <row r="519" spans="1:22" x14ac:dyDescent="0.3">
      <c r="A519" t="s">
        <v>609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5" t="str">
        <f t="shared" si="24"/>
        <v>Low Sale</v>
      </c>
      <c r="S519" s="7">
        <f t="shared" si="25"/>
        <v>4.7619047619047628</v>
      </c>
      <c r="T519" s="7" t="str" cm="1">
        <f t="array" ref="T519">_xlfn.IFS(Q518&gt;=8,"Excellent",Q518&gt;=6,"Good",Q518&gt;=4,"Average",TRUE,"Poor")</f>
        <v>Excellent</v>
      </c>
      <c r="U519" s="9">
        <f t="shared" si="26"/>
        <v>8.9177911005321458E-4</v>
      </c>
      <c r="V519" s="7" t="str" cm="1">
        <f t="array" ref="V519">_xlfn.IFS(HOUR(L518)&lt;12,"Morning",HOUR(L518)&lt;17,"Afternoon",HOUR(L518)&lt;21,"Evening",TRUE,"Night")</f>
        <v>Afternoon</v>
      </c>
    </row>
    <row r="520" spans="1:22" x14ac:dyDescent="0.3">
      <c r="A520" t="s">
        <v>610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5" t="str">
        <f t="shared" si="24"/>
        <v>Low Sale</v>
      </c>
      <c r="S520" s="7">
        <f t="shared" si="25"/>
        <v>4.7619047619047619</v>
      </c>
      <c r="T520" s="7" t="str" cm="1">
        <f t="array" ref="T520">_xlfn.IFS(Q519&gt;=8,"Excellent",Q519&gt;=6,"Good",Q519&gt;=4,"Average",TRUE,"Poor")</f>
        <v>Excellent</v>
      </c>
      <c r="U520" s="9">
        <f t="shared" si="26"/>
        <v>6.4030585390076789E-4</v>
      </c>
      <c r="V520" s="7" t="str" cm="1">
        <f t="array" ref="V520">_xlfn.IFS(HOUR(L519)&lt;12,"Morning",HOUR(L519)&lt;17,"Afternoon",HOUR(L519)&lt;21,"Evening",TRUE,"Night")</f>
        <v>Evening</v>
      </c>
    </row>
    <row r="521" spans="1:22" x14ac:dyDescent="0.3">
      <c r="A521" t="s">
        <v>611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  <c r="R521" s="5" t="str">
        <f t="shared" si="24"/>
        <v>Low Sale</v>
      </c>
      <c r="S521" s="7">
        <f t="shared" si="25"/>
        <v>4.761904761904761</v>
      </c>
      <c r="T521" s="7" t="str" cm="1">
        <f t="array" ref="T521">_xlfn.IFS(Q520&gt;=8,"Excellent",Q520&gt;=6,"Good",Q520&gt;=4,"Average",TRUE,"Poor")</f>
        <v>Excellent</v>
      </c>
      <c r="U521" s="9">
        <f t="shared" si="26"/>
        <v>2.2582200869229418E-4</v>
      </c>
      <c r="V521" s="7" t="str" cm="1">
        <f t="array" ref="V521">_xlfn.IFS(HOUR(L520)&lt;12,"Morning",HOUR(L520)&lt;17,"Afternoon",HOUR(L520)&lt;21,"Evening",TRUE,"Night")</f>
        <v>Evening</v>
      </c>
    </row>
    <row r="522" spans="1:22" x14ac:dyDescent="0.3">
      <c r="A522" t="s">
        <v>612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  <c r="R522" s="5" t="str">
        <f t="shared" si="24"/>
        <v>Low Sale</v>
      </c>
      <c r="S522" s="7">
        <f t="shared" si="25"/>
        <v>4.7619047619047628</v>
      </c>
      <c r="T522" s="7" t="str" cm="1">
        <f t="array" ref="T522">_xlfn.IFS(Q521&gt;=8,"Excellent",Q521&gt;=6,"Good",Q521&gt;=4,"Average",TRUE,"Poor")</f>
        <v>Average</v>
      </c>
      <c r="U522" s="9">
        <f t="shared" si="26"/>
        <v>1.1690986801864234E-3</v>
      </c>
      <c r="V522" s="7" t="str" cm="1">
        <f t="array" ref="V522">_xlfn.IFS(HOUR(L521)&lt;12,"Morning",HOUR(L521)&lt;17,"Afternoon",HOUR(L521)&lt;21,"Evening",TRUE,"Night")</f>
        <v>Afternoon</v>
      </c>
    </row>
    <row r="523" spans="1:22" x14ac:dyDescent="0.3">
      <c r="A523" t="s">
        <v>613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298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  <c r="R523" s="5" t="str">
        <f t="shared" si="24"/>
        <v>Low Sale</v>
      </c>
      <c r="S523" s="7">
        <f t="shared" si="25"/>
        <v>4.7619047619047619</v>
      </c>
      <c r="T523" s="7" t="str" cm="1">
        <f t="array" ref="T523">_xlfn.IFS(Q522&gt;=8,"Excellent",Q522&gt;=6,"Good",Q522&gt;=4,"Average",TRUE,"Poor")</f>
        <v>Good</v>
      </c>
      <c r="U523" s="9">
        <f t="shared" si="26"/>
        <v>4.458245328530708E-4</v>
      </c>
      <c r="V523" s="7" t="str" cm="1">
        <f t="array" ref="V523">_xlfn.IFS(HOUR(L522)&lt;12,"Morning",HOUR(L522)&lt;17,"Afternoon",HOUR(L522)&lt;21,"Evening",TRUE,"Night")</f>
        <v>Morning</v>
      </c>
    </row>
    <row r="524" spans="1:22" x14ac:dyDescent="0.3">
      <c r="A524" t="s">
        <v>614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  <c r="R524" s="5" t="str">
        <f t="shared" si="24"/>
        <v>Medium Sale</v>
      </c>
      <c r="S524" s="7">
        <f t="shared" si="25"/>
        <v>4.7619047619047619</v>
      </c>
      <c r="T524" s="7" t="str" cm="1">
        <f t="array" ref="T524">_xlfn.IFS(Q523&gt;=8,"Excellent",Q523&gt;=6,"Good",Q523&gt;=4,"Average",TRUE,"Poor")</f>
        <v>Good</v>
      </c>
      <c r="U524" s="9">
        <f t="shared" si="26"/>
        <v>1.6223682519094246E-3</v>
      </c>
      <c r="V524" s="7" t="str" cm="1">
        <f t="array" ref="V524">_xlfn.IFS(HOUR(L523)&lt;12,"Morning",HOUR(L523)&lt;17,"Afternoon",HOUR(L523)&lt;21,"Evening",TRUE,"Night")</f>
        <v>Morning</v>
      </c>
    </row>
    <row r="525" spans="1:22" x14ac:dyDescent="0.3">
      <c r="A525" t="s">
        <v>615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  <c r="R525" s="5" t="str">
        <f t="shared" si="24"/>
        <v>Low Sale</v>
      </c>
      <c r="S525" s="7">
        <f t="shared" si="25"/>
        <v>4.7619047619047619</v>
      </c>
      <c r="T525" s="7" t="str" cm="1">
        <f t="array" ref="T525">_xlfn.IFS(Q524&gt;=8,"Excellent",Q524&gt;=6,"Good",Q524&gt;=4,"Average",TRUE,"Poor")</f>
        <v>Average</v>
      </c>
      <c r="U525" s="9">
        <f t="shared" si="26"/>
        <v>7.3032905316206399E-4</v>
      </c>
      <c r="V525" s="7" t="str" cm="1">
        <f t="array" ref="V525">_xlfn.IFS(HOUR(L524)&lt;12,"Morning",HOUR(L524)&lt;17,"Afternoon",HOUR(L524)&lt;21,"Evening",TRUE,"Night")</f>
        <v>Afternoon</v>
      </c>
    </row>
    <row r="526" spans="1:22" x14ac:dyDescent="0.3">
      <c r="A526" t="s">
        <v>616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  <c r="R526" s="5" t="str">
        <f t="shared" si="24"/>
        <v>Low Sale</v>
      </c>
      <c r="S526" s="7">
        <f t="shared" si="25"/>
        <v>4.7619047619047628</v>
      </c>
      <c r="T526" s="7" t="str" cm="1">
        <f t="array" ref="T526">_xlfn.IFS(Q525&gt;=8,"Excellent",Q525&gt;=6,"Good",Q525&gt;=4,"Average",TRUE,"Poor")</f>
        <v>Average</v>
      </c>
      <c r="U526" s="9">
        <f t="shared" si="26"/>
        <v>4.0879440502402916E-4</v>
      </c>
      <c r="V526" s="7" t="str" cm="1">
        <f t="array" ref="V526">_xlfn.IFS(HOUR(L525)&lt;12,"Morning",HOUR(L525)&lt;17,"Afternoon",HOUR(L525)&lt;21,"Evening",TRUE,"Night")</f>
        <v>Morning</v>
      </c>
    </row>
    <row r="527" spans="1:22" x14ac:dyDescent="0.3">
      <c r="A527" t="s">
        <v>617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  <c r="R527" s="5" t="str">
        <f t="shared" si="24"/>
        <v>Medium Sale</v>
      </c>
      <c r="S527" s="7">
        <f t="shared" si="25"/>
        <v>4.7619047619047628</v>
      </c>
      <c r="T527" s="7" t="str" cm="1">
        <f t="array" ref="T527">_xlfn.IFS(Q526&gt;=8,"Excellent",Q526&gt;=6,"Good",Q526&gt;=4,"Average",TRUE,"Poor")</f>
        <v>Excellent</v>
      </c>
      <c r="U527" s="9">
        <f t="shared" si="26"/>
        <v>1.5938885399004339E-3</v>
      </c>
      <c r="V527" s="7" t="str" cm="1">
        <f t="array" ref="V527">_xlfn.IFS(HOUR(L526)&lt;12,"Morning",HOUR(L526)&lt;17,"Afternoon",HOUR(L526)&lt;21,"Evening",TRUE,"Night")</f>
        <v>Afternoon</v>
      </c>
    </row>
    <row r="528" spans="1:22" x14ac:dyDescent="0.3">
      <c r="A528" t="s">
        <v>618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  <c r="R528" s="5" t="str">
        <f t="shared" si="24"/>
        <v>Low Sale</v>
      </c>
      <c r="S528" s="7">
        <f t="shared" si="25"/>
        <v>4.7619047619047619</v>
      </c>
      <c r="T528" s="7" t="str" cm="1">
        <f t="array" ref="T528">_xlfn.IFS(Q527&gt;=8,"Excellent",Q527&gt;=6,"Good",Q527&gt;=4,"Average",TRUE,"Poor")</f>
        <v>Good</v>
      </c>
      <c r="U528" s="9">
        <f t="shared" si="26"/>
        <v>1.4859192207430612E-3</v>
      </c>
      <c r="V528" s="7" t="str" cm="1">
        <f t="array" ref="V528">_xlfn.IFS(HOUR(L527)&lt;12,"Morning",HOUR(L527)&lt;17,"Afternoon",HOUR(L527)&lt;21,"Evening",TRUE,"Night")</f>
        <v>Afternoon</v>
      </c>
    </row>
    <row r="529" spans="1:22" x14ac:dyDescent="0.3">
      <c r="A529" t="s">
        <v>619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  <c r="R529" s="5" t="str">
        <f t="shared" si="24"/>
        <v>Low Sale</v>
      </c>
      <c r="S529" s="7">
        <f t="shared" si="25"/>
        <v>4.7619047619047628</v>
      </c>
      <c r="T529" s="7" t="str" cm="1">
        <f t="array" ref="T529">_xlfn.IFS(Q528&gt;=8,"Excellent",Q528&gt;=6,"Good",Q528&gt;=4,"Average",TRUE,"Poor")</f>
        <v>Excellent</v>
      </c>
      <c r="U529" s="9">
        <f t="shared" si="26"/>
        <v>5.0990388487329988E-4</v>
      </c>
      <c r="V529" s="7" t="str" cm="1">
        <f t="array" ref="V529">_xlfn.IFS(HOUR(L528)&lt;12,"Morning",HOUR(L528)&lt;17,"Afternoon",HOUR(L528)&lt;21,"Evening",TRUE,"Night")</f>
        <v>Evening</v>
      </c>
    </row>
    <row r="530" spans="1:22" x14ac:dyDescent="0.3">
      <c r="A530" t="s">
        <v>620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  <c r="R530" s="5" t="str">
        <f t="shared" si="24"/>
        <v>Low Sale</v>
      </c>
      <c r="S530" s="7">
        <f t="shared" si="25"/>
        <v>4.7619047619047619</v>
      </c>
      <c r="T530" s="7" t="str" cm="1">
        <f t="array" ref="T530">_xlfn.IFS(Q529&gt;=8,"Excellent",Q529&gt;=6,"Good",Q529&gt;=4,"Average",TRUE,"Poor")</f>
        <v>Good</v>
      </c>
      <c r="U530" s="9">
        <f t="shared" si="26"/>
        <v>3.892227307895401E-4</v>
      </c>
      <c r="V530" s="7" t="str" cm="1">
        <f t="array" ref="V530">_xlfn.IFS(HOUR(L529)&lt;12,"Morning",HOUR(L529)&lt;17,"Afternoon",HOUR(L529)&lt;21,"Evening",TRUE,"Night")</f>
        <v>Afternoon</v>
      </c>
    </row>
    <row r="531" spans="1:22" x14ac:dyDescent="0.3">
      <c r="A531" t="s">
        <v>621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5" t="str">
        <f t="shared" si="24"/>
        <v>Medium Sale</v>
      </c>
      <c r="S531" s="7">
        <f t="shared" si="25"/>
        <v>4.7619047619047628</v>
      </c>
      <c r="T531" s="7" t="str" cm="1">
        <f t="array" ref="T531">_xlfn.IFS(Q530&gt;=8,"Excellent",Q530&gt;=6,"Good",Q530&gt;=4,"Average",TRUE,"Poor")</f>
        <v>Good</v>
      </c>
      <c r="U531" s="9">
        <f t="shared" si="26"/>
        <v>1.767302676722302E-3</v>
      </c>
      <c r="V531" s="7" t="str" cm="1">
        <f t="array" ref="V531">_xlfn.IFS(HOUR(L530)&lt;12,"Morning",HOUR(L530)&lt;17,"Afternoon",HOUR(L530)&lt;21,"Evening",TRUE,"Night")</f>
        <v>Morning</v>
      </c>
    </row>
    <row r="532" spans="1:22" x14ac:dyDescent="0.3">
      <c r="A532" t="s">
        <v>622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  <c r="R532" s="5" t="str">
        <f t="shared" si="24"/>
        <v>Medium Sale</v>
      </c>
      <c r="S532" s="7">
        <f t="shared" si="25"/>
        <v>4.7619047619047628</v>
      </c>
      <c r="T532" s="7" t="str" cm="1">
        <f t="array" ref="T532">_xlfn.IFS(Q531&gt;=8,"Excellent",Q531&gt;=6,"Good",Q531&gt;=4,"Average",TRUE,"Poor")</f>
        <v>Excellent</v>
      </c>
      <c r="U532" s="9">
        <f t="shared" si="26"/>
        <v>2.8701112509882552E-3</v>
      </c>
      <c r="V532" s="7" t="str" cm="1">
        <f t="array" ref="V532">_xlfn.IFS(HOUR(L531)&lt;12,"Morning",HOUR(L531)&lt;17,"Afternoon",HOUR(L531)&lt;21,"Evening",TRUE,"Night")</f>
        <v>Evening</v>
      </c>
    </row>
    <row r="533" spans="1:22" x14ac:dyDescent="0.3">
      <c r="A533" t="s">
        <v>623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  <c r="R533" s="5" t="str">
        <f t="shared" si="24"/>
        <v>Low Sale</v>
      </c>
      <c r="S533" s="7">
        <f t="shared" si="25"/>
        <v>4.7619047619047619</v>
      </c>
      <c r="T533" s="7" t="str" cm="1">
        <f t="array" ref="T533">_xlfn.IFS(Q532&gt;=8,"Excellent",Q532&gt;=6,"Good",Q532&gt;=4,"Average",TRUE,"Poor")</f>
        <v>Good</v>
      </c>
      <c r="U533" s="9">
        <f t="shared" si="26"/>
        <v>4.960541619100237E-4</v>
      </c>
      <c r="V533" s="7" t="str" cm="1">
        <f t="array" ref="V533">_xlfn.IFS(HOUR(L532)&lt;12,"Morning",HOUR(L532)&lt;17,"Afternoon",HOUR(L532)&lt;21,"Evening",TRUE,"Night")</f>
        <v>Evening</v>
      </c>
    </row>
    <row r="534" spans="1:22" x14ac:dyDescent="0.3">
      <c r="A534" t="s">
        <v>624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  <c r="R534" s="5" t="str">
        <f t="shared" si="24"/>
        <v>Medium Sale</v>
      </c>
      <c r="S534" s="7">
        <f t="shared" si="25"/>
        <v>4.7619047619047619</v>
      </c>
      <c r="T534" s="7" t="str" cm="1">
        <f t="array" ref="T534">_xlfn.IFS(Q533&gt;=8,"Excellent",Q533&gt;=6,"Good",Q533&gt;=4,"Average",TRUE,"Poor")</f>
        <v>Good</v>
      </c>
      <c r="U534" s="9">
        <f t="shared" si="26"/>
        <v>2.2544488008578241E-3</v>
      </c>
      <c r="V534" s="7" t="str" cm="1">
        <f t="array" ref="V534">_xlfn.IFS(HOUR(L533)&lt;12,"Morning",HOUR(L533)&lt;17,"Afternoon",HOUR(L533)&lt;21,"Evening",TRUE,"Night")</f>
        <v>Evening</v>
      </c>
    </row>
    <row r="535" spans="1:22" x14ac:dyDescent="0.3">
      <c r="A535" t="s">
        <v>625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  <c r="R535" s="5" t="str">
        <f t="shared" si="24"/>
        <v>Low Sale</v>
      </c>
      <c r="S535" s="7">
        <f t="shared" si="25"/>
        <v>4.7619047619047619</v>
      </c>
      <c r="T535" s="7" t="str" cm="1">
        <f t="array" ref="T535">_xlfn.IFS(Q534&gt;=8,"Excellent",Q534&gt;=6,"Good",Q534&gt;=4,"Average",TRUE,"Poor")</f>
        <v>Excellent</v>
      </c>
      <c r="U535" s="9">
        <f t="shared" si="26"/>
        <v>7.4612944133143548E-4</v>
      </c>
      <c r="V535" s="7" t="str" cm="1">
        <f t="array" ref="V535">_xlfn.IFS(HOUR(L534)&lt;12,"Morning",HOUR(L534)&lt;17,"Afternoon",HOUR(L534)&lt;21,"Evening",TRUE,"Night")</f>
        <v>Evening</v>
      </c>
    </row>
    <row r="536" spans="1:22" x14ac:dyDescent="0.3">
      <c r="A536" t="s">
        <v>626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  <c r="R536" s="5" t="str">
        <f t="shared" si="24"/>
        <v>Low Sale</v>
      </c>
      <c r="S536" s="7">
        <f t="shared" si="25"/>
        <v>4.7619047619047619</v>
      </c>
      <c r="T536" s="7" t="str" cm="1">
        <f t="array" ref="T536">_xlfn.IFS(Q535&gt;=8,"Excellent",Q535&gt;=6,"Good",Q535&gt;=4,"Average",TRUE,"Poor")</f>
        <v>Excellent</v>
      </c>
      <c r="U536" s="9">
        <f t="shared" si="26"/>
        <v>4.7723024267120446E-4</v>
      </c>
      <c r="V536" s="7" t="str" cm="1">
        <f t="array" ref="V536">_xlfn.IFS(HOUR(L535)&lt;12,"Morning",HOUR(L535)&lt;17,"Afternoon",HOUR(L535)&lt;21,"Evening",TRUE,"Night")</f>
        <v>Morning</v>
      </c>
    </row>
    <row r="537" spans="1:22" x14ac:dyDescent="0.3">
      <c r="A537" t="s">
        <v>627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  <c r="R537" s="5" t="str">
        <f t="shared" si="24"/>
        <v>Low Sale</v>
      </c>
      <c r="S537" s="7">
        <f t="shared" si="25"/>
        <v>4.7619047619047619</v>
      </c>
      <c r="T537" s="7" t="str" cm="1">
        <f t="array" ref="T537">_xlfn.IFS(Q536&gt;=8,"Excellent",Q536&gt;=6,"Good",Q536&gt;=4,"Average",TRUE,"Poor")</f>
        <v>Good</v>
      </c>
      <c r="U537" s="9">
        <f t="shared" si="26"/>
        <v>4.6035698863848047E-4</v>
      </c>
      <c r="V537" s="7" t="str" cm="1">
        <f t="array" ref="V537">_xlfn.IFS(HOUR(L536)&lt;12,"Morning",HOUR(L536)&lt;17,"Afternoon",HOUR(L536)&lt;21,"Evening",TRUE,"Night")</f>
        <v>Afternoon</v>
      </c>
    </row>
    <row r="538" spans="1:22" x14ac:dyDescent="0.3">
      <c r="A538" t="s">
        <v>628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  <c r="R538" s="5" t="str">
        <f t="shared" si="24"/>
        <v>Low Sale</v>
      </c>
      <c r="S538" s="7">
        <f t="shared" si="25"/>
        <v>4.7619047619047619</v>
      </c>
      <c r="T538" s="7" t="str" cm="1">
        <f t="array" ref="T538">_xlfn.IFS(Q537&gt;=8,"Excellent",Q537&gt;=6,"Good",Q537&gt;=4,"Average",TRUE,"Poor")</f>
        <v>Good</v>
      </c>
      <c r="U538" s="9">
        <f t="shared" si="26"/>
        <v>3.793718714987591E-4</v>
      </c>
      <c r="V538" s="7" t="str" cm="1">
        <f t="array" ref="V538">_xlfn.IFS(HOUR(L537)&lt;12,"Morning",HOUR(L537)&lt;17,"Afternoon",HOUR(L537)&lt;21,"Evening",TRUE,"Night")</f>
        <v>Morning</v>
      </c>
    </row>
    <row r="539" spans="1:22" x14ac:dyDescent="0.3">
      <c r="A539" t="s">
        <v>629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  <c r="R539" s="5" t="str">
        <f t="shared" si="24"/>
        <v>Low Sale</v>
      </c>
      <c r="S539" s="7">
        <f t="shared" si="25"/>
        <v>4.7619047619047619</v>
      </c>
      <c r="T539" s="7" t="str" cm="1">
        <f t="array" ref="T539">_xlfn.IFS(Q538&gt;=8,"Excellent",Q538&gt;=6,"Good",Q538&gt;=4,"Average",TRUE,"Poor")</f>
        <v>Average</v>
      </c>
      <c r="U539" s="9">
        <f t="shared" si="26"/>
        <v>2.4045199773800859E-4</v>
      </c>
      <c r="V539" s="7" t="str" cm="1">
        <f t="array" ref="V539">_xlfn.IFS(HOUR(L538)&lt;12,"Morning",HOUR(L538)&lt;17,"Afternoon",HOUR(L538)&lt;21,"Evening",TRUE,"Night")</f>
        <v>Morning</v>
      </c>
    </row>
    <row r="540" spans="1:22" x14ac:dyDescent="0.3">
      <c r="A540" t="s">
        <v>630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  <c r="R540" s="5" t="str">
        <f t="shared" si="24"/>
        <v>Low Sale</v>
      </c>
      <c r="S540" s="7">
        <f t="shared" si="25"/>
        <v>4.7619047619047619</v>
      </c>
      <c r="T540" s="7" t="str" cm="1">
        <f t="array" ref="T540">_xlfn.IFS(Q539&gt;=8,"Excellent",Q539&gt;=6,"Good",Q539&gt;=4,"Average",TRUE,"Poor")</f>
        <v>Good</v>
      </c>
      <c r="U540" s="9">
        <f t="shared" si="26"/>
        <v>3.1841358380828235E-4</v>
      </c>
      <c r="V540" s="7" t="str" cm="1">
        <f t="array" ref="V540">_xlfn.IFS(HOUR(L539)&lt;12,"Morning",HOUR(L539)&lt;17,"Afternoon",HOUR(L539)&lt;21,"Evening",TRUE,"Night")</f>
        <v>Morning</v>
      </c>
    </row>
    <row r="541" spans="1:22" x14ac:dyDescent="0.3">
      <c r="A541" t="s">
        <v>631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  <c r="R541" s="5" t="str">
        <f t="shared" si="24"/>
        <v>Low Sale</v>
      </c>
      <c r="S541" s="7">
        <f t="shared" si="25"/>
        <v>4.7619047619047619</v>
      </c>
      <c r="T541" s="7" t="str" cm="1">
        <f t="array" ref="T541">_xlfn.IFS(Q540&gt;=8,"Excellent",Q540&gt;=6,"Good",Q540&gt;=4,"Average",TRUE,"Poor")</f>
        <v>Average</v>
      </c>
      <c r="U541" s="9">
        <f t="shared" si="26"/>
        <v>9.4997395536838977E-4</v>
      </c>
      <c r="V541" s="7" t="str" cm="1">
        <f t="array" ref="V541">_xlfn.IFS(HOUR(L540)&lt;12,"Morning",HOUR(L540)&lt;17,"Afternoon",HOUR(L540)&lt;21,"Evening",TRUE,"Night")</f>
        <v>Evening</v>
      </c>
    </row>
    <row r="542" spans="1:22" x14ac:dyDescent="0.3">
      <c r="A542" t="s">
        <v>632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  <c r="R542" s="5" t="str">
        <f t="shared" si="24"/>
        <v>Medium Sale</v>
      </c>
      <c r="S542" s="7">
        <f t="shared" si="25"/>
        <v>4.7619047619047619</v>
      </c>
      <c r="T542" s="7" t="str" cm="1">
        <f t="array" ref="T542">_xlfn.IFS(Q541&gt;=8,"Excellent",Q541&gt;=6,"Good",Q541&gt;=4,"Average",TRUE,"Poor")</f>
        <v>Average</v>
      </c>
      <c r="U542" s="9">
        <f t="shared" si="26"/>
        <v>1.7064419222921302E-3</v>
      </c>
      <c r="V542" s="7" t="str" cm="1">
        <f t="array" ref="V542">_xlfn.IFS(HOUR(L541)&lt;12,"Morning",HOUR(L541)&lt;17,"Afternoon",HOUR(L541)&lt;21,"Evening",TRUE,"Night")</f>
        <v>Evening</v>
      </c>
    </row>
    <row r="543" spans="1:22" x14ac:dyDescent="0.3">
      <c r="A543" t="s">
        <v>633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  <c r="R543" s="5" t="str">
        <f t="shared" si="24"/>
        <v>Low Sale</v>
      </c>
      <c r="S543" s="7">
        <f t="shared" si="25"/>
        <v>4.7619047619047628</v>
      </c>
      <c r="T543" s="7" t="str" cm="1">
        <f t="array" ref="T543">_xlfn.IFS(Q542&gt;=8,"Excellent",Q542&gt;=6,"Good",Q542&gt;=4,"Average",TRUE,"Poor")</f>
        <v>Excellent</v>
      </c>
      <c r="U543" s="9">
        <f t="shared" si="26"/>
        <v>2.9923204261501229E-4</v>
      </c>
      <c r="V543" s="7" t="str" cm="1">
        <f t="array" ref="V543">_xlfn.IFS(HOUR(L542)&lt;12,"Morning",HOUR(L542)&lt;17,"Afternoon",HOUR(L542)&lt;21,"Evening",TRUE,"Night")</f>
        <v>Morning</v>
      </c>
    </row>
    <row r="544" spans="1:22" x14ac:dyDescent="0.3">
      <c r="A544" t="s">
        <v>634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260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  <c r="R544" s="5" t="str">
        <f t="shared" si="24"/>
        <v>Low Sale</v>
      </c>
      <c r="S544" s="7">
        <f t="shared" si="25"/>
        <v>4.7619047619047619</v>
      </c>
      <c r="T544" s="7" t="str" cm="1">
        <f t="array" ref="T544">_xlfn.IFS(Q543&gt;=8,"Excellent",Q543&gt;=6,"Good",Q543&gt;=4,"Average",TRUE,"Poor")</f>
        <v>Good</v>
      </c>
      <c r="U544" s="9">
        <f t="shared" si="26"/>
        <v>2.4669412639751343E-4</v>
      </c>
      <c r="V544" s="7" t="str" cm="1">
        <f t="array" ref="V544">_xlfn.IFS(HOUR(L543)&lt;12,"Morning",HOUR(L543)&lt;17,"Afternoon",HOUR(L543)&lt;21,"Evening",TRUE,"Night")</f>
        <v>Morning</v>
      </c>
    </row>
    <row r="545" spans="1:22" x14ac:dyDescent="0.3">
      <c r="A545" t="s">
        <v>635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  <c r="R545" s="5" t="str">
        <f t="shared" si="24"/>
        <v>Low Sale</v>
      </c>
      <c r="S545" s="7">
        <f t="shared" si="25"/>
        <v>4.7619047619047619</v>
      </c>
      <c r="T545" s="7" t="str" cm="1">
        <f t="array" ref="T545">_xlfn.IFS(Q544&gt;=8,"Excellent",Q544&gt;=6,"Good",Q544&gt;=4,"Average",TRUE,"Poor")</f>
        <v>Average</v>
      </c>
      <c r="U545" s="9">
        <f t="shared" si="26"/>
        <v>2.6242949239334848E-4</v>
      </c>
      <c r="V545" s="7" t="str" cm="1">
        <f t="array" ref="V545">_xlfn.IFS(HOUR(L544)&lt;12,"Morning",HOUR(L544)&lt;17,"Afternoon",HOUR(L544)&lt;21,"Evening",TRUE,"Night")</f>
        <v>Afternoon</v>
      </c>
    </row>
    <row r="546" spans="1:22" x14ac:dyDescent="0.3">
      <c r="A546" t="s">
        <v>636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  <c r="R546" s="5" t="str">
        <f t="shared" si="24"/>
        <v>Low Sale</v>
      </c>
      <c r="S546" s="7">
        <f t="shared" si="25"/>
        <v>4.7619047619047619</v>
      </c>
      <c r="T546" s="7" t="str" cm="1">
        <f t="array" ref="T546">_xlfn.IFS(Q545&gt;=8,"Excellent",Q545&gt;=6,"Good",Q545&gt;=4,"Average",TRUE,"Poor")</f>
        <v>Average</v>
      </c>
      <c r="U546" s="9">
        <f t="shared" si="26"/>
        <v>3.6613985918407959E-4</v>
      </c>
      <c r="V546" s="7" t="str" cm="1">
        <f t="array" ref="V546">_xlfn.IFS(HOUR(L545)&lt;12,"Morning",HOUR(L545)&lt;17,"Afternoon",HOUR(L545)&lt;21,"Evening",TRUE,"Night")</f>
        <v>Afternoon</v>
      </c>
    </row>
    <row r="547" spans="1:22" x14ac:dyDescent="0.3">
      <c r="A547" t="s">
        <v>637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5" t="str">
        <f t="shared" si="24"/>
        <v>Low Sale</v>
      </c>
      <c r="S547" s="7">
        <f t="shared" si="25"/>
        <v>4.7619047619047619</v>
      </c>
      <c r="T547" s="7" t="str" cm="1">
        <f t="array" ref="T547">_xlfn.IFS(Q546&gt;=8,"Excellent",Q546&gt;=6,"Good",Q546&gt;=4,"Average",TRUE,"Poor")</f>
        <v>Excellent</v>
      </c>
      <c r="U547" s="9">
        <f t="shared" si="26"/>
        <v>2.314789377899704E-4</v>
      </c>
      <c r="V547" s="7" t="str" cm="1">
        <f t="array" ref="V547">_xlfn.IFS(HOUR(L546)&lt;12,"Morning",HOUR(L546)&lt;17,"Afternoon",HOUR(L546)&lt;21,"Evening",TRUE,"Night")</f>
        <v>Evening</v>
      </c>
    </row>
    <row r="548" spans="1:22" x14ac:dyDescent="0.3">
      <c r="A548" t="s">
        <v>638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  <c r="R548" s="5" t="str">
        <f t="shared" si="24"/>
        <v>Low Sale</v>
      </c>
      <c r="S548" s="7">
        <f t="shared" si="25"/>
        <v>4.7619047619047619</v>
      </c>
      <c r="T548" s="7" t="str" cm="1">
        <f t="array" ref="T548">_xlfn.IFS(Q547&gt;=8,"Excellent",Q547&gt;=6,"Good",Q547&gt;=4,"Average",TRUE,"Poor")</f>
        <v>Average</v>
      </c>
      <c r="U548" s="9">
        <f t="shared" si="26"/>
        <v>5.0470211099037932E-4</v>
      </c>
      <c r="V548" s="7" t="str" cm="1">
        <f t="array" ref="V548">_xlfn.IFS(HOUR(L547)&lt;12,"Morning",HOUR(L547)&lt;17,"Afternoon",HOUR(L547)&lt;21,"Evening",TRUE,"Night")</f>
        <v>Afternoon</v>
      </c>
    </row>
    <row r="549" spans="1:22" x14ac:dyDescent="0.3">
      <c r="A549" t="s">
        <v>639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  <c r="R549" s="5" t="str">
        <f t="shared" si="24"/>
        <v>Low Sale</v>
      </c>
      <c r="S549" s="7">
        <f t="shared" si="25"/>
        <v>4.7619047619047619</v>
      </c>
      <c r="T549" s="7" t="str" cm="1">
        <f t="array" ref="T549">_xlfn.IFS(Q548&gt;=8,"Excellent",Q548&gt;=6,"Good",Q548&gt;=4,"Average",TRUE,"Poor")</f>
        <v>Excellent</v>
      </c>
      <c r="U549" s="9">
        <f t="shared" si="26"/>
        <v>9.5647617272204071E-4</v>
      </c>
      <c r="V549" s="7" t="str" cm="1">
        <f t="array" ref="V549">_xlfn.IFS(HOUR(L548)&lt;12,"Morning",HOUR(L548)&lt;17,"Afternoon",HOUR(L548)&lt;21,"Evening",TRUE,"Night")</f>
        <v>Afternoon</v>
      </c>
    </row>
    <row r="550" spans="1:22" x14ac:dyDescent="0.3">
      <c r="A550" t="s">
        <v>640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  <c r="R550" s="5" t="str">
        <f t="shared" si="24"/>
        <v>Medium Sale</v>
      </c>
      <c r="S550" s="7">
        <f t="shared" si="25"/>
        <v>4.7619047619047619</v>
      </c>
      <c r="T550" s="7" t="str" cm="1">
        <f t="array" ref="T550">_xlfn.IFS(Q549&gt;=8,"Excellent",Q549&gt;=6,"Good",Q549&gt;=4,"Average",TRUE,"Poor")</f>
        <v>Good</v>
      </c>
      <c r="U550" s="9">
        <f t="shared" si="26"/>
        <v>1.7833956646725879E-3</v>
      </c>
      <c r="V550" s="7" t="str" cm="1">
        <f t="array" ref="V550">_xlfn.IFS(HOUR(L549)&lt;12,"Morning",HOUR(L549)&lt;17,"Afternoon",HOUR(L549)&lt;21,"Evening",TRUE,"Night")</f>
        <v>Afternoon</v>
      </c>
    </row>
    <row r="551" spans="1:22" x14ac:dyDescent="0.3">
      <c r="A551" t="s">
        <v>641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  <c r="R551" s="5" t="str">
        <f t="shared" si="24"/>
        <v>Low Sale</v>
      </c>
      <c r="S551" s="7">
        <f t="shared" si="25"/>
        <v>4.7619047619047628</v>
      </c>
      <c r="T551" s="7" t="str" cm="1">
        <f t="array" ref="T551">_xlfn.IFS(Q550&gt;=8,"Excellent",Q550&gt;=6,"Good",Q550&gt;=4,"Average",TRUE,"Poor")</f>
        <v>Average</v>
      </c>
      <c r="U551" s="9">
        <f t="shared" si="26"/>
        <v>8.3781070601791246E-4</v>
      </c>
      <c r="V551" s="7" t="str" cm="1">
        <f t="array" ref="V551">_xlfn.IFS(HOUR(L550)&lt;12,"Morning",HOUR(L550)&lt;17,"Afternoon",HOUR(L550)&lt;21,"Evening",TRUE,"Night")</f>
        <v>Evening</v>
      </c>
    </row>
    <row r="552" spans="1:22" x14ac:dyDescent="0.3">
      <c r="A552" t="s">
        <v>642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  <c r="R552" s="5" t="str">
        <f t="shared" si="24"/>
        <v>Low Sale</v>
      </c>
      <c r="S552" s="7">
        <f t="shared" si="25"/>
        <v>4.7619047619047628</v>
      </c>
      <c r="T552" s="7" t="str" cm="1">
        <f t="array" ref="T552">_xlfn.IFS(Q551&gt;=8,"Excellent",Q551&gt;=6,"Good",Q551&gt;=4,"Average",TRUE,"Poor")</f>
        <v>Good</v>
      </c>
      <c r="U552" s="9">
        <f t="shared" si="26"/>
        <v>1.2886094351465263E-3</v>
      </c>
      <c r="V552" s="7" t="str" cm="1">
        <f t="array" ref="V552">_xlfn.IFS(HOUR(L551)&lt;12,"Morning",HOUR(L551)&lt;17,"Afternoon",HOUR(L551)&lt;21,"Evening",TRUE,"Night")</f>
        <v>Morning</v>
      </c>
    </row>
    <row r="553" spans="1:22" x14ac:dyDescent="0.3">
      <c r="A553" t="s">
        <v>643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  <c r="R553" s="5" t="str">
        <f t="shared" si="24"/>
        <v>Low Sale</v>
      </c>
      <c r="S553" s="7">
        <f t="shared" si="25"/>
        <v>4.7619047619047628</v>
      </c>
      <c r="T553" s="7" t="str" cm="1">
        <f t="array" ref="T553">_xlfn.IFS(Q552&gt;=8,"Excellent",Q552&gt;=6,"Good",Q552&gt;=4,"Average",TRUE,"Poor")</f>
        <v>Good</v>
      </c>
      <c r="U553" s="9">
        <f t="shared" si="26"/>
        <v>5.5857298176537659E-4</v>
      </c>
      <c r="V553" s="7" t="str" cm="1">
        <f t="array" ref="V553">_xlfn.IFS(HOUR(L552)&lt;12,"Morning",HOUR(L552)&lt;17,"Afternoon",HOUR(L552)&lt;21,"Evening",TRUE,"Night")</f>
        <v>Evening</v>
      </c>
    </row>
    <row r="554" spans="1:22" x14ac:dyDescent="0.3">
      <c r="A554" t="s">
        <v>644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5" t="str">
        <f t="shared" si="24"/>
        <v>Medium Sale</v>
      </c>
      <c r="S554" s="7">
        <f t="shared" si="25"/>
        <v>4.7619047619047619</v>
      </c>
      <c r="T554" s="7" t="str" cm="1">
        <f t="array" ref="T554">_xlfn.IFS(Q553&gt;=8,"Excellent",Q553&gt;=6,"Good",Q553&gt;=4,"Average",TRUE,"Poor")</f>
        <v>Excellent</v>
      </c>
      <c r="U554" s="9">
        <f t="shared" si="26"/>
        <v>1.5891094101455005E-3</v>
      </c>
      <c r="V554" s="7" t="str" cm="1">
        <f t="array" ref="V554">_xlfn.IFS(HOUR(L553)&lt;12,"Morning",HOUR(L553)&lt;17,"Afternoon",HOUR(L553)&lt;21,"Evening",TRUE,"Night")</f>
        <v>Morning</v>
      </c>
    </row>
    <row r="555" spans="1:22" x14ac:dyDescent="0.3">
      <c r="A555" t="s">
        <v>645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  <c r="R555" s="5" t="str">
        <f t="shared" si="24"/>
        <v>Medium Sale</v>
      </c>
      <c r="S555" s="7">
        <f t="shared" si="25"/>
        <v>4.761904761904761</v>
      </c>
      <c r="T555" s="7" t="str" cm="1">
        <f t="array" ref="T555">_xlfn.IFS(Q554&gt;=8,"Excellent",Q554&gt;=6,"Good",Q554&gt;=4,"Average",TRUE,"Poor")</f>
        <v>Excellent</v>
      </c>
      <c r="U555" s="9">
        <f t="shared" si="26"/>
        <v>1.7041011240448158E-3</v>
      </c>
      <c r="V555" s="7" t="str" cm="1">
        <f t="array" ref="V555">_xlfn.IFS(HOUR(L554)&lt;12,"Morning",HOUR(L554)&lt;17,"Afternoon",HOUR(L554)&lt;21,"Evening",TRUE,"Night")</f>
        <v>Afternoon</v>
      </c>
    </row>
    <row r="556" spans="1:22" x14ac:dyDescent="0.3">
      <c r="A556" t="s">
        <v>646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  <c r="R556" s="5" t="str">
        <f t="shared" si="24"/>
        <v>Low Sale</v>
      </c>
      <c r="S556" s="7">
        <f t="shared" si="25"/>
        <v>4.7619047619047628</v>
      </c>
      <c r="T556" s="7" t="str" cm="1">
        <f t="array" ref="T556">_xlfn.IFS(Q555&gt;=8,"Excellent",Q555&gt;=6,"Good",Q555&gt;=4,"Average",TRUE,"Poor")</f>
        <v>Excellent</v>
      </c>
      <c r="U556" s="9">
        <f t="shared" si="26"/>
        <v>4.3324274227375637E-4</v>
      </c>
      <c r="V556" s="7" t="str" cm="1">
        <f t="array" ref="V556">_xlfn.IFS(HOUR(L555)&lt;12,"Morning",HOUR(L555)&lt;17,"Afternoon",HOUR(L555)&lt;21,"Evening",TRUE,"Night")</f>
        <v>Morning</v>
      </c>
    </row>
    <row r="557" spans="1:22" x14ac:dyDescent="0.3">
      <c r="A557" t="s">
        <v>647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  <c r="R557" s="5" t="str">
        <f t="shared" si="24"/>
        <v>Low Sale</v>
      </c>
      <c r="S557" s="7">
        <f t="shared" si="25"/>
        <v>4.761904761904761</v>
      </c>
      <c r="T557" s="7" t="str" cm="1">
        <f t="array" ref="T557">_xlfn.IFS(Q556&gt;=8,"Excellent",Q556&gt;=6,"Good",Q556&gt;=4,"Average",TRUE,"Poor")</f>
        <v>Good</v>
      </c>
      <c r="U557" s="9">
        <f t="shared" si="26"/>
        <v>4.3967993745387077E-4</v>
      </c>
      <c r="V557" s="7" t="str" cm="1">
        <f t="array" ref="V557">_xlfn.IFS(HOUR(L556)&lt;12,"Morning",HOUR(L556)&lt;17,"Afternoon",HOUR(L556)&lt;21,"Evening",TRUE,"Night")</f>
        <v>Evening</v>
      </c>
    </row>
    <row r="558" spans="1:22" x14ac:dyDescent="0.3">
      <c r="A558" t="s">
        <v>648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  <c r="R558" s="5" t="str">
        <f t="shared" si="24"/>
        <v>Low Sale</v>
      </c>
      <c r="S558" s="7">
        <f t="shared" si="25"/>
        <v>4.7619047619047619</v>
      </c>
      <c r="T558" s="7" t="str" cm="1">
        <f t="array" ref="T558">_xlfn.IFS(Q557&gt;=8,"Excellent",Q557&gt;=6,"Good",Q557&gt;=4,"Average",TRUE,"Poor")</f>
        <v>Good</v>
      </c>
      <c r="U558" s="9">
        <f t="shared" si="26"/>
        <v>3.65554659622251E-4</v>
      </c>
      <c r="V558" s="7" t="str" cm="1">
        <f t="array" ref="V558">_xlfn.IFS(HOUR(L557)&lt;12,"Morning",HOUR(L557)&lt;17,"Afternoon",HOUR(L557)&lt;21,"Evening",TRUE,"Night")</f>
        <v>Afternoon</v>
      </c>
    </row>
    <row r="559" spans="1:22" x14ac:dyDescent="0.3">
      <c r="A559" t="s">
        <v>649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243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  <c r="R559" s="5" t="str">
        <f t="shared" si="24"/>
        <v>Low Sale</v>
      </c>
      <c r="S559" s="7">
        <f t="shared" si="25"/>
        <v>4.7619047619047628</v>
      </c>
      <c r="T559" s="7" t="str" cm="1">
        <f t="array" ref="T559">_xlfn.IFS(Q558&gt;=8,"Excellent",Q558&gt;=6,"Good",Q558&gt;=4,"Average",TRUE,"Poor")</f>
        <v>Excellent</v>
      </c>
      <c r="U559" s="9">
        <f t="shared" si="26"/>
        <v>4.684197381570075E-4</v>
      </c>
      <c r="V559" s="7" t="str" cm="1">
        <f t="array" ref="V559">_xlfn.IFS(HOUR(L558)&lt;12,"Morning",HOUR(L558)&lt;17,"Afternoon",HOUR(L558)&lt;21,"Evening",TRUE,"Night")</f>
        <v>Evening</v>
      </c>
    </row>
    <row r="560" spans="1:22" x14ac:dyDescent="0.3">
      <c r="A560" t="s">
        <v>650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  <c r="R560" s="5" t="str">
        <f t="shared" si="24"/>
        <v>High Sale</v>
      </c>
      <c r="S560" s="7">
        <f t="shared" si="25"/>
        <v>4.7619047619047619</v>
      </c>
      <c r="T560" s="7" t="str" cm="1">
        <f t="array" ref="T560">_xlfn.IFS(Q559&gt;=8,"Excellent",Q559&gt;=6,"Good",Q559&gt;=4,"Average",TRUE,"Poor")</f>
        <v>Average</v>
      </c>
      <c r="U560" s="9">
        <f t="shared" si="26"/>
        <v>3.2029922684084105E-3</v>
      </c>
      <c r="V560" s="7" t="str" cm="1">
        <f t="array" ref="V560">_xlfn.IFS(HOUR(L559)&lt;12,"Morning",HOUR(L559)&lt;17,"Afternoon",HOUR(L559)&lt;21,"Evening",TRUE,"Night")</f>
        <v>Evening</v>
      </c>
    </row>
    <row r="561" spans="1:22" x14ac:dyDescent="0.3">
      <c r="A561" t="s">
        <v>651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  <c r="R561" s="5" t="str">
        <f t="shared" si="24"/>
        <v>Low Sale</v>
      </c>
      <c r="S561" s="7">
        <f t="shared" si="25"/>
        <v>4.761904761904761</v>
      </c>
      <c r="T561" s="7" t="str" cm="1">
        <f t="array" ref="T561">_xlfn.IFS(Q560&gt;=8,"Excellent",Q560&gt;=6,"Good",Q560&gt;=4,"Average",TRUE,"Poor")</f>
        <v>Average</v>
      </c>
      <c r="U561" s="9">
        <f t="shared" si="26"/>
        <v>8.1264712485928383E-4</v>
      </c>
      <c r="V561" s="7" t="str" cm="1">
        <f t="array" ref="V561">_xlfn.IFS(HOUR(L560)&lt;12,"Morning",HOUR(L560)&lt;17,"Afternoon",HOUR(L560)&lt;21,"Evening",TRUE,"Night")</f>
        <v>Afternoon</v>
      </c>
    </row>
    <row r="562" spans="1:22" x14ac:dyDescent="0.3">
      <c r="A562" t="s">
        <v>652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357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  <c r="R562" s="5" t="str">
        <f t="shared" si="24"/>
        <v>Low Sale</v>
      </c>
      <c r="S562" s="7">
        <f t="shared" si="25"/>
        <v>4.7619047619047619</v>
      </c>
      <c r="T562" s="7" t="str" cm="1">
        <f t="array" ref="T562">_xlfn.IFS(Q561&gt;=8,"Excellent",Q561&gt;=6,"Good",Q561&gt;=4,"Average",TRUE,"Poor")</f>
        <v>Excellent</v>
      </c>
      <c r="U562" s="9">
        <f t="shared" si="26"/>
        <v>7.0633587112709222E-4</v>
      </c>
      <c r="V562" s="7" t="str" cm="1">
        <f t="array" ref="V562">_xlfn.IFS(HOUR(L561)&lt;12,"Morning",HOUR(L561)&lt;17,"Afternoon",HOUR(L561)&lt;21,"Evening",TRUE,"Night")</f>
        <v>Afternoon</v>
      </c>
    </row>
    <row r="563" spans="1:22" x14ac:dyDescent="0.3">
      <c r="A563" t="s">
        <v>653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  <c r="R563" s="5" t="str">
        <f t="shared" si="24"/>
        <v>Low Sale</v>
      </c>
      <c r="S563" s="7">
        <f t="shared" si="25"/>
        <v>4.7619047619047619</v>
      </c>
      <c r="T563" s="7" t="str" cm="1">
        <f t="array" ref="T563">_xlfn.IFS(Q562&gt;=8,"Excellent",Q562&gt;=6,"Good",Q562&gt;=4,"Average",TRUE,"Poor")</f>
        <v>Good</v>
      </c>
      <c r="U563" s="9">
        <f t="shared" si="26"/>
        <v>6.3143032721303444E-4</v>
      </c>
      <c r="V563" s="7" t="str" cm="1">
        <f t="array" ref="V563">_xlfn.IFS(HOUR(L562)&lt;12,"Morning",HOUR(L562)&lt;17,"Afternoon",HOUR(L562)&lt;21,"Evening",TRUE,"Night")</f>
        <v>Afternoon</v>
      </c>
    </row>
    <row r="564" spans="1:22" x14ac:dyDescent="0.3">
      <c r="A564" t="s">
        <v>654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243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  <c r="R564" s="5" t="str">
        <f t="shared" si="24"/>
        <v>Medium Sale</v>
      </c>
      <c r="S564" s="7">
        <f t="shared" si="25"/>
        <v>4.7619047619047619</v>
      </c>
      <c r="T564" s="7" t="str" cm="1">
        <f t="array" ref="T564">_xlfn.IFS(Q563&gt;=8,"Excellent",Q563&gt;=6,"Good",Q563&gt;=4,"Average",TRUE,"Poor")</f>
        <v>Average</v>
      </c>
      <c r="U564" s="9">
        <f t="shared" si="26"/>
        <v>2.8999889397282809E-3</v>
      </c>
      <c r="V564" s="7" t="str" cm="1">
        <f t="array" ref="V564">_xlfn.IFS(HOUR(L563)&lt;12,"Morning",HOUR(L563)&lt;17,"Afternoon",HOUR(L563)&lt;21,"Evening",TRUE,"Night")</f>
        <v>Afternoon</v>
      </c>
    </row>
    <row r="565" spans="1:22" x14ac:dyDescent="0.3">
      <c r="A565" t="s">
        <v>655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298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  <c r="R565" s="5" t="str">
        <f t="shared" si="24"/>
        <v>Low Sale</v>
      </c>
      <c r="S565" s="7">
        <f t="shared" si="25"/>
        <v>4.7619047619047628</v>
      </c>
      <c r="T565" s="7" t="str" cm="1">
        <f t="array" ref="T565">_xlfn.IFS(Q564&gt;=8,"Excellent",Q564&gt;=6,"Good",Q564&gt;=4,"Average",TRUE,"Poor")</f>
        <v>Average</v>
      </c>
      <c r="U565" s="9">
        <f t="shared" si="26"/>
        <v>1.1032962405674769E-3</v>
      </c>
      <c r="V565" s="7" t="str" cm="1">
        <f t="array" ref="V565">_xlfn.IFS(HOUR(L564)&lt;12,"Morning",HOUR(L564)&lt;17,"Afternoon",HOUR(L564)&lt;21,"Evening",TRUE,"Night")</f>
        <v>Afternoon</v>
      </c>
    </row>
    <row r="566" spans="1:22" x14ac:dyDescent="0.3">
      <c r="A566" t="s">
        <v>656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298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  <c r="R566" s="5" t="str">
        <f t="shared" si="24"/>
        <v>Low Sale</v>
      </c>
      <c r="S566" s="7">
        <f t="shared" si="25"/>
        <v>4.7619047619047628</v>
      </c>
      <c r="T566" s="7" t="str" cm="1">
        <f t="array" ref="T566">_xlfn.IFS(Q565&gt;=8,"Excellent",Q565&gt;=6,"Good",Q565&gt;=4,"Average",TRUE,"Poor")</f>
        <v>Average</v>
      </c>
      <c r="U566" s="9">
        <f t="shared" si="26"/>
        <v>1.4534406450615754E-3</v>
      </c>
      <c r="V566" s="7" t="str" cm="1">
        <f t="array" ref="V566">_xlfn.IFS(HOUR(L565)&lt;12,"Morning",HOUR(L565)&lt;17,"Afternoon",HOUR(L565)&lt;21,"Evening",TRUE,"Night")</f>
        <v>Afternoon</v>
      </c>
    </row>
    <row r="567" spans="1:22" x14ac:dyDescent="0.3">
      <c r="A567" t="s">
        <v>657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  <c r="R567" s="5" t="str">
        <f t="shared" si="24"/>
        <v>Low Sale</v>
      </c>
      <c r="S567" s="7">
        <f t="shared" si="25"/>
        <v>4.7619047619047619</v>
      </c>
      <c r="T567" s="7" t="str" cm="1">
        <f t="array" ref="T567">_xlfn.IFS(Q566&gt;=8,"Excellent",Q566&gt;=6,"Good",Q566&gt;=4,"Average",TRUE,"Poor")</f>
        <v>Excellent</v>
      </c>
      <c r="U567" s="9">
        <f t="shared" si="26"/>
        <v>6.4534507234984733E-4</v>
      </c>
      <c r="V567" s="7" t="str" cm="1">
        <f t="array" ref="V567">_xlfn.IFS(HOUR(L566)&lt;12,"Morning",HOUR(L566)&lt;17,"Afternoon",HOUR(L566)&lt;21,"Evening",TRUE,"Night")</f>
        <v>Afternoon</v>
      </c>
    </row>
    <row r="568" spans="1:22" x14ac:dyDescent="0.3">
      <c r="A568" t="s">
        <v>658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  <c r="R568" s="5" t="str">
        <f t="shared" si="24"/>
        <v>Medium Sale</v>
      </c>
      <c r="S568" s="7">
        <f t="shared" si="25"/>
        <v>4.7619047619047619</v>
      </c>
      <c r="T568" s="7" t="str" cm="1">
        <f t="array" ref="T568">_xlfn.IFS(Q567&gt;=8,"Excellent",Q567&gt;=6,"Good",Q567&gt;=4,"Average",TRUE,"Poor")</f>
        <v>Good</v>
      </c>
      <c r="U568" s="9">
        <f t="shared" si="26"/>
        <v>2.6402253564499294E-3</v>
      </c>
      <c r="V568" s="7" t="str" cm="1">
        <f t="array" ref="V568">_xlfn.IFS(HOUR(L567)&lt;12,"Morning",HOUR(L567)&lt;17,"Afternoon",HOUR(L567)&lt;21,"Evening",TRUE,"Night")</f>
        <v>Afternoon</v>
      </c>
    </row>
    <row r="569" spans="1:22" x14ac:dyDescent="0.3">
      <c r="A569" t="s">
        <v>659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  <c r="R569" s="5" t="str">
        <f t="shared" si="24"/>
        <v>Medium Sale</v>
      </c>
      <c r="S569" s="7">
        <f t="shared" si="25"/>
        <v>4.7619047619047619</v>
      </c>
      <c r="T569" s="7" t="str" cm="1">
        <f t="array" ref="T569">_xlfn.IFS(Q568&gt;=8,"Excellent",Q568&gt;=6,"Good",Q568&gt;=4,"Average",TRUE,"Poor")</f>
        <v>Excellent</v>
      </c>
      <c r="U569" s="9">
        <f t="shared" si="26"/>
        <v>1.6037719102779831E-3</v>
      </c>
      <c r="V569" s="7" t="str" cm="1">
        <f t="array" ref="V569">_xlfn.IFS(HOUR(L568)&lt;12,"Morning",HOUR(L568)&lt;17,"Afternoon",HOUR(L568)&lt;21,"Evening",TRUE,"Night")</f>
        <v>Afternoon</v>
      </c>
    </row>
    <row r="570" spans="1:22" x14ac:dyDescent="0.3">
      <c r="A570" t="s">
        <v>660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  <c r="R570" s="5" t="str">
        <f t="shared" si="24"/>
        <v>Medium Sale</v>
      </c>
      <c r="S570" s="7">
        <f t="shared" si="25"/>
        <v>4.761904761904761</v>
      </c>
      <c r="T570" s="7" t="str" cm="1">
        <f t="array" ref="T570">_xlfn.IFS(Q569&gt;=8,"Excellent",Q569&gt;=6,"Good",Q569&gt;=4,"Average",TRUE,"Poor")</f>
        <v>Good</v>
      </c>
      <c r="U570" s="9">
        <f t="shared" si="26"/>
        <v>1.9235509597305322E-3</v>
      </c>
      <c r="V570" s="7" t="str" cm="1">
        <f t="array" ref="V570">_xlfn.IFS(HOUR(L569)&lt;12,"Morning",HOUR(L569)&lt;17,"Afternoon",HOUR(L569)&lt;21,"Evening",TRUE,"Night")</f>
        <v>Afternoon</v>
      </c>
    </row>
    <row r="571" spans="1:22" x14ac:dyDescent="0.3">
      <c r="A571" t="s">
        <v>661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5" t="str">
        <f t="shared" si="24"/>
        <v>Medium Sale</v>
      </c>
      <c r="S571" s="7">
        <f t="shared" si="25"/>
        <v>4.7619047619047619</v>
      </c>
      <c r="T571" s="7" t="str" cm="1">
        <f t="array" ref="T571">_xlfn.IFS(Q570&gt;=8,"Excellent",Q570&gt;=6,"Good",Q570&gt;=4,"Average",TRUE,"Poor")</f>
        <v>Average</v>
      </c>
      <c r="U571" s="9">
        <f t="shared" si="26"/>
        <v>1.8174347725189502E-3</v>
      </c>
      <c r="V571" s="7" t="str" cm="1">
        <f t="array" ref="V571">_xlfn.IFS(HOUR(L570)&lt;12,"Morning",HOUR(L570)&lt;17,"Afternoon",HOUR(L570)&lt;21,"Evening",TRUE,"Night")</f>
        <v>Morning</v>
      </c>
    </row>
    <row r="572" spans="1:22" x14ac:dyDescent="0.3">
      <c r="A572" t="s">
        <v>662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  <c r="R572" s="5" t="str">
        <f t="shared" si="24"/>
        <v>Medium Sale</v>
      </c>
      <c r="S572" s="7">
        <f t="shared" si="25"/>
        <v>4.7619047619047619</v>
      </c>
      <c r="T572" s="7" t="str" cm="1">
        <f t="array" ref="T572">_xlfn.IFS(Q571&gt;=8,"Excellent",Q571&gt;=6,"Good",Q571&gt;=4,"Average",TRUE,"Poor")</f>
        <v>Average</v>
      </c>
      <c r="U572" s="9">
        <f t="shared" si="26"/>
        <v>1.6836191393808156E-3</v>
      </c>
      <c r="V572" s="7" t="str" cm="1">
        <f t="array" ref="V572">_xlfn.IFS(HOUR(L571)&lt;12,"Morning",HOUR(L571)&lt;17,"Afternoon",HOUR(L571)&lt;21,"Evening",TRUE,"Night")</f>
        <v>Afternoon</v>
      </c>
    </row>
    <row r="573" spans="1:22" x14ac:dyDescent="0.3">
      <c r="A573" t="s">
        <v>663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  <c r="R573" s="5" t="str">
        <f t="shared" si="24"/>
        <v>Low Sale</v>
      </c>
      <c r="S573" s="7">
        <f t="shared" si="25"/>
        <v>4.7619047619047628</v>
      </c>
      <c r="T573" s="7" t="str" cm="1">
        <f t="array" ref="T573">_xlfn.IFS(Q572&gt;=8,"Excellent",Q572&gt;=6,"Good",Q572&gt;=4,"Average",TRUE,"Poor")</f>
        <v>Good</v>
      </c>
      <c r="U573" s="9">
        <f t="shared" si="26"/>
        <v>1.3336047792337901E-3</v>
      </c>
      <c r="V573" s="7" t="str" cm="1">
        <f t="array" ref="V573">_xlfn.IFS(HOUR(L572)&lt;12,"Morning",HOUR(L572)&lt;17,"Afternoon",HOUR(L572)&lt;21,"Evening",TRUE,"Night")</f>
        <v>Evening</v>
      </c>
    </row>
    <row r="574" spans="1:22" x14ac:dyDescent="0.3">
      <c r="A574" t="s">
        <v>664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5" t="str">
        <f t="shared" si="24"/>
        <v>Low Sale</v>
      </c>
      <c r="S574" s="7">
        <f t="shared" si="25"/>
        <v>4.7619047619047619</v>
      </c>
      <c r="T574" s="7" t="str" cm="1">
        <f t="array" ref="T574">_xlfn.IFS(Q573&gt;=8,"Excellent",Q573&gt;=6,"Good",Q573&gt;=4,"Average",TRUE,"Poor")</f>
        <v>Excellent</v>
      </c>
      <c r="U574" s="9">
        <f t="shared" si="26"/>
        <v>8.6707068410934139E-4</v>
      </c>
      <c r="V574" s="7" t="str" cm="1">
        <f t="array" ref="V574">_xlfn.IFS(HOUR(L573)&lt;12,"Morning",HOUR(L573)&lt;17,"Afternoon",HOUR(L573)&lt;21,"Evening",TRUE,"Night")</f>
        <v>Morning</v>
      </c>
    </row>
    <row r="575" spans="1:22" x14ac:dyDescent="0.3">
      <c r="A575" t="s">
        <v>665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  <c r="R575" s="5" t="str">
        <f t="shared" si="24"/>
        <v>Low Sale</v>
      </c>
      <c r="S575" s="7">
        <f t="shared" si="25"/>
        <v>4.7619047619047628</v>
      </c>
      <c r="T575" s="7" t="str" cm="1">
        <f t="array" ref="T575">_xlfn.IFS(Q574&gt;=8,"Excellent",Q574&gt;=6,"Good",Q574&gt;=4,"Average",TRUE,"Poor")</f>
        <v>Excellent</v>
      </c>
      <c r="U575" s="9">
        <f t="shared" si="26"/>
        <v>2.3053611627369102E-4</v>
      </c>
      <c r="V575" s="7" t="str" cm="1">
        <f t="array" ref="V575">_xlfn.IFS(HOUR(L574)&lt;12,"Morning",HOUR(L574)&lt;17,"Afternoon",HOUR(L574)&lt;21,"Evening",TRUE,"Night")</f>
        <v>Evening</v>
      </c>
    </row>
    <row r="576" spans="1:22" x14ac:dyDescent="0.3">
      <c r="A576" t="s">
        <v>666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  <c r="R576" s="5" t="str">
        <f t="shared" si="24"/>
        <v>Low Sale</v>
      </c>
      <c r="S576" s="7">
        <f t="shared" si="25"/>
        <v>4.7619047619047619</v>
      </c>
      <c r="T576" s="7" t="str" cm="1">
        <f t="array" ref="T576">_xlfn.IFS(Q575&gt;=8,"Excellent",Q575&gt;=6,"Good",Q575&gt;=4,"Average",TRUE,"Poor")</f>
        <v>Excellent</v>
      </c>
      <c r="U576" s="9">
        <f t="shared" si="26"/>
        <v>4.7069551423078532E-4</v>
      </c>
      <c r="V576" s="7" t="str" cm="1">
        <f t="array" ref="V576">_xlfn.IFS(HOUR(L575)&lt;12,"Morning",HOUR(L575)&lt;17,"Afternoon",HOUR(L575)&lt;21,"Evening",TRUE,"Night")</f>
        <v>Evening</v>
      </c>
    </row>
    <row r="577" spans="1:22" x14ac:dyDescent="0.3">
      <c r="A577" t="s">
        <v>667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  <c r="R577" s="5" t="str">
        <f t="shared" si="24"/>
        <v>Low Sale</v>
      </c>
      <c r="S577" s="7">
        <f t="shared" si="25"/>
        <v>4.7619047619047619</v>
      </c>
      <c r="T577" s="7" t="str" cm="1">
        <f t="array" ref="T577">_xlfn.IFS(Q576&gt;=8,"Excellent",Q576&gt;=6,"Good",Q576&gt;=4,"Average",TRUE,"Poor")</f>
        <v>Excellent</v>
      </c>
      <c r="U577" s="9">
        <f t="shared" si="26"/>
        <v>1.396513732130362E-3</v>
      </c>
      <c r="V577" s="7" t="str" cm="1">
        <f t="array" ref="V577">_xlfn.IFS(HOUR(L576)&lt;12,"Morning",HOUR(L576)&lt;17,"Afternoon",HOUR(L576)&lt;21,"Evening",TRUE,"Night")</f>
        <v>Afternoon</v>
      </c>
    </row>
    <row r="578" spans="1:22" x14ac:dyDescent="0.3">
      <c r="A578" t="s">
        <v>668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  <c r="R578" s="5" t="str">
        <f t="shared" si="24"/>
        <v>Medium Sale</v>
      </c>
      <c r="S578" s="7">
        <f t="shared" si="25"/>
        <v>4.7619047619047619</v>
      </c>
      <c r="T578" s="7" t="str" cm="1">
        <f t="array" ref="T578">_xlfn.IFS(Q577&gt;=8,"Excellent",Q577&gt;=6,"Good",Q577&gt;=4,"Average",TRUE,"Poor")</f>
        <v>Good</v>
      </c>
      <c r="U578" s="9">
        <f t="shared" si="26"/>
        <v>1.8504335255887284E-3</v>
      </c>
      <c r="V578" s="7" t="str" cm="1">
        <f t="array" ref="V578">_xlfn.IFS(HOUR(L577)&lt;12,"Morning",HOUR(L577)&lt;17,"Afternoon",HOUR(L577)&lt;21,"Evening",TRUE,"Night")</f>
        <v>Evening</v>
      </c>
    </row>
    <row r="579" spans="1:22" x14ac:dyDescent="0.3">
      <c r="A579" t="s">
        <v>669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286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  <c r="R579" s="5" t="str">
        <f t="shared" si="24"/>
        <v>Low Sale</v>
      </c>
      <c r="S579" s="7">
        <f t="shared" si="25"/>
        <v>4.7619047619047628</v>
      </c>
      <c r="T579" s="7" t="str" cm="1">
        <f t="array" ref="T579">_xlfn.IFS(Q578&gt;=8,"Excellent",Q578&gt;=6,"Good",Q578&gt;=4,"Average",TRUE,"Poor")</f>
        <v>Average</v>
      </c>
      <c r="U579" s="9">
        <f t="shared" si="26"/>
        <v>7.8416741285029291E-4</v>
      </c>
      <c r="V579" s="7" t="str" cm="1">
        <f t="array" ref="V579">_xlfn.IFS(HOUR(L578)&lt;12,"Morning",HOUR(L578)&lt;17,"Afternoon",HOUR(L578)&lt;21,"Evening",TRUE,"Night")</f>
        <v>Evening</v>
      </c>
    </row>
    <row r="580" spans="1:22" x14ac:dyDescent="0.3">
      <c r="A580" t="s">
        <v>670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  <c r="R580" s="5" t="str">
        <f t="shared" ref="R580:R643" si="27">IF(J579&gt;=1000,"High Sale",IF(J579&gt;=500,"Medium Sale","Low Sale"))</f>
        <v>Low Sale</v>
      </c>
      <c r="S580" s="7">
        <f t="shared" ref="S580:S643" si="28">(P579/J579)*100</f>
        <v>4.7619047619047628</v>
      </c>
      <c r="T580" s="7" t="str" cm="1">
        <f t="array" ref="T580">_xlfn.IFS(Q579&gt;=8,"Excellent",Q579&gt;=6,"Good",Q579&gt;=4,"Average",TRUE,"Poor")</f>
        <v>Good</v>
      </c>
      <c r="U580" s="9">
        <f t="shared" ref="U580:U643" si="29">J579/SUM($J$2:$J$1001)</f>
        <v>4.1315089065097527E-4</v>
      </c>
      <c r="V580" s="7" t="str" cm="1">
        <f t="array" ref="V580">_xlfn.IFS(HOUR(L579)&lt;12,"Morning",HOUR(L579)&lt;17,"Afternoon",HOUR(L579)&lt;21,"Evening",TRUE,"Night")</f>
        <v>Afternoon</v>
      </c>
    </row>
    <row r="581" spans="1:22" x14ac:dyDescent="0.3">
      <c r="A581" t="s">
        <v>671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  <c r="R581" s="5" t="str">
        <f t="shared" si="27"/>
        <v>Low Sale</v>
      </c>
      <c r="S581" s="7">
        <f t="shared" si="28"/>
        <v>4.761904761904761</v>
      </c>
      <c r="T581" s="7" t="str" cm="1">
        <f t="array" ref="T581">_xlfn.IFS(Q580&gt;=8,"Excellent",Q580&gt;=6,"Good",Q580&gt;=4,"Average",TRUE,"Poor")</f>
        <v>Good</v>
      </c>
      <c r="U581" s="9">
        <f t="shared" si="29"/>
        <v>8.3579501863828088E-4</v>
      </c>
      <c r="V581" s="7" t="str" cm="1">
        <f t="array" ref="V581">_xlfn.IFS(HOUR(L580)&lt;12,"Morning",HOUR(L580)&lt;17,"Afternoon",HOUR(L580)&lt;21,"Evening",TRUE,"Night")</f>
        <v>Afternoon</v>
      </c>
    </row>
    <row r="582" spans="1:22" x14ac:dyDescent="0.3">
      <c r="A582" t="s">
        <v>672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  <c r="R582" s="5" t="str">
        <f t="shared" si="27"/>
        <v>Low Sale</v>
      </c>
      <c r="S582" s="7">
        <f t="shared" si="28"/>
        <v>4.7619047619047619</v>
      </c>
      <c r="T582" s="7" t="str" cm="1">
        <f t="array" ref="T582">_xlfn.IFS(Q581&gt;=8,"Excellent",Q581&gt;=6,"Good",Q581&gt;=4,"Average",TRUE,"Poor")</f>
        <v>Excellent</v>
      </c>
      <c r="U582" s="9">
        <f t="shared" si="29"/>
        <v>4.5196912825227087E-4</v>
      </c>
      <c r="V582" s="7" t="str" cm="1">
        <f t="array" ref="V582">_xlfn.IFS(HOUR(L581)&lt;12,"Morning",HOUR(L581)&lt;17,"Afternoon",HOUR(L581)&lt;21,"Evening",TRUE,"Night")</f>
        <v>Afternoon</v>
      </c>
    </row>
    <row r="583" spans="1:22" x14ac:dyDescent="0.3">
      <c r="A583" t="s">
        <v>673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  <c r="R583" s="5" t="str">
        <f t="shared" si="27"/>
        <v>Low Sale</v>
      </c>
      <c r="S583" s="7">
        <f t="shared" si="28"/>
        <v>4.7619047619047628</v>
      </c>
      <c r="T583" s="7" t="str" cm="1">
        <f t="array" ref="T583">_xlfn.IFS(Q582&gt;=8,"Excellent",Q582&gt;=6,"Good",Q582&gt;=4,"Average",TRUE,"Poor")</f>
        <v>Good</v>
      </c>
      <c r="U583" s="9">
        <f t="shared" si="29"/>
        <v>2.6548553454956437E-4</v>
      </c>
      <c r="V583" s="7" t="str" cm="1">
        <f t="array" ref="V583">_xlfn.IFS(HOUR(L582)&lt;12,"Morning",HOUR(L582)&lt;17,"Afternoon",HOUR(L582)&lt;21,"Evening",TRUE,"Night")</f>
        <v>Afternoon</v>
      </c>
    </row>
    <row r="584" spans="1:22" x14ac:dyDescent="0.3">
      <c r="A584" t="s">
        <v>674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260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  <c r="R584" s="5" t="str">
        <f t="shared" si="27"/>
        <v>Low Sale</v>
      </c>
      <c r="S584" s="7">
        <f t="shared" si="28"/>
        <v>4.7619047619047628</v>
      </c>
      <c r="T584" s="7" t="str" cm="1">
        <f t="array" ref="T584">_xlfn.IFS(Q583&gt;=8,"Excellent",Q583&gt;=6,"Good",Q583&gt;=4,"Average",TRUE,"Poor")</f>
        <v>Excellent</v>
      </c>
      <c r="U584" s="9">
        <f t="shared" si="29"/>
        <v>1.0101844880631965E-3</v>
      </c>
      <c r="V584" s="7" t="str" cm="1">
        <f t="array" ref="V584">_xlfn.IFS(HOUR(L583)&lt;12,"Morning",HOUR(L583)&lt;17,"Afternoon",HOUR(L583)&lt;21,"Evening",TRUE,"Night")</f>
        <v>Evening</v>
      </c>
    </row>
    <row r="585" spans="1:22" x14ac:dyDescent="0.3">
      <c r="A585" t="s">
        <v>675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286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  <c r="R585" s="5" t="str">
        <f t="shared" si="27"/>
        <v>Low Sale</v>
      </c>
      <c r="S585" s="7">
        <f t="shared" si="28"/>
        <v>4.7619047619047619</v>
      </c>
      <c r="T585" s="7" t="str" cm="1">
        <f t="array" ref="T585">_xlfn.IFS(Q584&gt;=8,"Excellent",Q584&gt;=6,"Good",Q584&gt;=4,"Average",TRUE,"Poor")</f>
        <v>Excellent</v>
      </c>
      <c r="U585" s="9">
        <f t="shared" si="29"/>
        <v>6.0457616954245647E-4</v>
      </c>
      <c r="V585" s="7" t="str" cm="1">
        <f t="array" ref="V585">_xlfn.IFS(HOUR(L584)&lt;12,"Morning",HOUR(L584)&lt;17,"Afternoon",HOUR(L584)&lt;21,"Evening",TRUE,"Night")</f>
        <v>Afternoon</v>
      </c>
    </row>
    <row r="586" spans="1:22" x14ac:dyDescent="0.3">
      <c r="A586" t="s">
        <v>676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  <c r="R586" s="5" t="str">
        <f t="shared" si="27"/>
        <v>Low Sale</v>
      </c>
      <c r="S586" s="7">
        <f t="shared" si="28"/>
        <v>4.7619047619047619</v>
      </c>
      <c r="T586" s="7" t="str" cm="1">
        <f t="array" ref="T586">_xlfn.IFS(Q585&gt;=8,"Excellent",Q585&gt;=6,"Good",Q585&gt;=4,"Average",TRUE,"Poor")</f>
        <v>Excellent</v>
      </c>
      <c r="U586" s="9">
        <f t="shared" si="29"/>
        <v>2.3512017950801491E-4</v>
      </c>
      <c r="V586" s="7" t="str" cm="1">
        <f t="array" ref="V586">_xlfn.IFS(HOUR(L585)&lt;12,"Morning",HOUR(L585)&lt;17,"Afternoon",HOUR(L585)&lt;21,"Evening",TRUE,"Night")</f>
        <v>Evening</v>
      </c>
    </row>
    <row r="587" spans="1:22" x14ac:dyDescent="0.3">
      <c r="A587" t="s">
        <v>677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5" t="str">
        <f t="shared" si="27"/>
        <v>Low Sale</v>
      </c>
      <c r="S587" s="7">
        <f t="shared" si="28"/>
        <v>4.7619047619047619</v>
      </c>
      <c r="T587" s="7" t="str" cm="1">
        <f t="array" ref="T587">_xlfn.IFS(Q586&gt;=8,"Excellent",Q586&gt;=6,"Good",Q586&gt;=4,"Average",TRUE,"Poor")</f>
        <v>Good</v>
      </c>
      <c r="U587" s="9">
        <f t="shared" si="29"/>
        <v>6.150447394818343E-4</v>
      </c>
      <c r="V587" s="7" t="str" cm="1">
        <f t="array" ref="V587">_xlfn.IFS(HOUR(L586)&lt;12,"Morning",HOUR(L586)&lt;17,"Afternoon",HOUR(L586)&lt;21,"Evening",TRUE,"Night")</f>
        <v>Afternoon</v>
      </c>
    </row>
    <row r="588" spans="1:22" x14ac:dyDescent="0.3">
      <c r="A588" t="s">
        <v>678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5" t="str">
        <f t="shared" si="27"/>
        <v>Low Sale</v>
      </c>
      <c r="S588" s="7">
        <f t="shared" si="28"/>
        <v>4.7619047619047628</v>
      </c>
      <c r="T588" s="7" t="str" cm="1">
        <f t="array" ref="T588">_xlfn.IFS(Q587&gt;=8,"Excellent",Q587&gt;=6,"Good",Q587&gt;=4,"Average",TRUE,"Poor")</f>
        <v>Excellent</v>
      </c>
      <c r="U588" s="9">
        <f t="shared" si="29"/>
        <v>6.7245931871457126E-4</v>
      </c>
      <c r="V588" s="7" t="str" cm="1">
        <f t="array" ref="V588">_xlfn.IFS(HOUR(L587)&lt;12,"Morning",HOUR(L587)&lt;17,"Afternoon",HOUR(L587)&lt;21,"Evening",TRUE,"Night")</f>
        <v>Afternoon</v>
      </c>
    </row>
    <row r="589" spans="1:22" x14ac:dyDescent="0.3">
      <c r="A589" t="s">
        <v>679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  <c r="R589" s="5" t="str">
        <f t="shared" si="27"/>
        <v>Low Sale</v>
      </c>
      <c r="S589" s="7">
        <f t="shared" si="28"/>
        <v>4.7619047619047619</v>
      </c>
      <c r="T589" s="7" t="str" cm="1">
        <f t="array" ref="T589">_xlfn.IFS(Q588&gt;=8,"Excellent",Q588&gt;=6,"Good",Q588&gt;=4,"Average",TRUE,"Poor")</f>
        <v>Excellent</v>
      </c>
      <c r="U589" s="9">
        <f t="shared" si="29"/>
        <v>5.1048908443512852E-4</v>
      </c>
      <c r="V589" s="7" t="str" cm="1">
        <f t="array" ref="V589">_xlfn.IFS(HOUR(L588)&lt;12,"Morning",HOUR(L588)&lt;17,"Afternoon",HOUR(L588)&lt;21,"Evening",TRUE,"Night")</f>
        <v>Afternoon</v>
      </c>
    </row>
    <row r="590" spans="1:22" x14ac:dyDescent="0.3">
      <c r="A590" t="s">
        <v>680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357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  <c r="R590" s="5" t="str">
        <f t="shared" si="27"/>
        <v>Low Sale</v>
      </c>
      <c r="S590" s="7">
        <f t="shared" si="28"/>
        <v>4.7619047619047628</v>
      </c>
      <c r="T590" s="7" t="str" cm="1">
        <f t="array" ref="T590">_xlfn.IFS(Q589&gt;=8,"Excellent",Q589&gt;=6,"Good",Q589&gt;=4,"Average",TRUE,"Poor")</f>
        <v>Good</v>
      </c>
      <c r="U590" s="9">
        <f t="shared" si="29"/>
        <v>6.9996369812051437E-4</v>
      </c>
      <c r="V590" s="7" t="str" cm="1">
        <f t="array" ref="V590">_xlfn.IFS(HOUR(L589)&lt;12,"Morning",HOUR(L589)&lt;17,"Afternoon",HOUR(L589)&lt;21,"Evening",TRUE,"Night")</f>
        <v>Afternoon</v>
      </c>
    </row>
    <row r="591" spans="1:22" x14ac:dyDescent="0.3">
      <c r="A591" t="s">
        <v>681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5" t="str">
        <f t="shared" si="27"/>
        <v>Medium Sale</v>
      </c>
      <c r="S591" s="7">
        <f t="shared" si="28"/>
        <v>4.7619047619047628</v>
      </c>
      <c r="T591" s="7" t="str" cm="1">
        <f t="array" ref="T591">_xlfn.IFS(Q590&gt;=8,"Excellent",Q590&gt;=6,"Good",Q590&gt;=4,"Average",TRUE,"Poor")</f>
        <v>Average</v>
      </c>
      <c r="U591" s="9">
        <f t="shared" si="29"/>
        <v>1.937985882255637E-3</v>
      </c>
      <c r="V591" s="7" t="str" cm="1">
        <f t="array" ref="V591">_xlfn.IFS(HOUR(L590)&lt;12,"Morning",HOUR(L590)&lt;17,"Afternoon",HOUR(L590)&lt;21,"Evening",TRUE,"Night")</f>
        <v>Morning</v>
      </c>
    </row>
    <row r="592" spans="1:22" x14ac:dyDescent="0.3">
      <c r="A592" t="s">
        <v>682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  <c r="R592" s="5" t="str">
        <f t="shared" si="27"/>
        <v>Low Sale</v>
      </c>
      <c r="S592" s="7">
        <f t="shared" si="28"/>
        <v>4.7619047619047619</v>
      </c>
      <c r="T592" s="7" t="str" cm="1">
        <f t="array" ref="T592">_xlfn.IFS(Q591&gt;=8,"Excellent",Q591&gt;=6,"Good",Q591&gt;=4,"Average",TRUE,"Poor")</f>
        <v>Average</v>
      </c>
      <c r="U592" s="9">
        <f t="shared" si="29"/>
        <v>2.376560442759387E-4</v>
      </c>
      <c r="V592" s="7" t="str" cm="1">
        <f t="array" ref="V592">_xlfn.IFS(HOUR(L591)&lt;12,"Morning",HOUR(L591)&lt;17,"Afternoon",HOUR(L591)&lt;21,"Evening",TRUE,"Night")</f>
        <v>Afternoon</v>
      </c>
    </row>
    <row r="593" spans="1:22" x14ac:dyDescent="0.3">
      <c r="A593" t="s">
        <v>683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  <c r="R593" s="5" t="str">
        <f t="shared" si="27"/>
        <v>Low Sale</v>
      </c>
      <c r="S593" s="7">
        <f t="shared" si="28"/>
        <v>4.7619047619047619</v>
      </c>
      <c r="T593" s="7" t="str" cm="1">
        <f t="array" ref="T593">_xlfn.IFS(Q592&gt;=8,"Excellent",Q592&gt;=6,"Good",Q592&gt;=4,"Average",TRUE,"Poor")</f>
        <v>Average</v>
      </c>
      <c r="U593" s="9">
        <f t="shared" si="29"/>
        <v>9.0764452039612277E-4</v>
      </c>
      <c r="V593" s="7" t="str" cm="1">
        <f t="array" ref="V593">_xlfn.IFS(HOUR(L592)&lt;12,"Morning",HOUR(L592)&lt;17,"Afternoon",HOUR(L592)&lt;21,"Evening",TRUE,"Night")</f>
        <v>Morning</v>
      </c>
    </row>
    <row r="594" spans="1:22" x14ac:dyDescent="0.3">
      <c r="A594" t="s">
        <v>684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5" t="str">
        <f t="shared" si="27"/>
        <v>Low Sale</v>
      </c>
      <c r="S594" s="7">
        <f t="shared" si="28"/>
        <v>4.7619047619047628</v>
      </c>
      <c r="T594" s="7" t="str" cm="1">
        <f t="array" ref="T594">_xlfn.IFS(Q593&gt;=8,"Excellent",Q593&gt;=6,"Good",Q593&gt;=4,"Average",TRUE,"Poor")</f>
        <v>Excellent</v>
      </c>
      <c r="U594" s="9">
        <f t="shared" si="29"/>
        <v>5.5164812028373844E-4</v>
      </c>
      <c r="V594" s="7" t="str" cm="1">
        <f t="array" ref="V594">_xlfn.IFS(HOUR(L593)&lt;12,"Morning",HOUR(L593)&lt;17,"Afternoon",HOUR(L593)&lt;21,"Evening",TRUE,"Night")</f>
        <v>Evening</v>
      </c>
    </row>
    <row r="595" spans="1:22" x14ac:dyDescent="0.3">
      <c r="A595" t="s">
        <v>685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  <c r="R595" s="5" t="str">
        <f t="shared" si="27"/>
        <v>Low Sale</v>
      </c>
      <c r="S595" s="7">
        <f t="shared" si="28"/>
        <v>4.7619047619047619</v>
      </c>
      <c r="T595" s="7" t="str" cm="1">
        <f t="array" ref="T595">_xlfn.IFS(Q594&gt;=8,"Excellent",Q594&gt;=6,"Good",Q594&gt;=4,"Average",TRUE,"Poor")</f>
        <v>Excellent</v>
      </c>
      <c r="U595" s="9">
        <f t="shared" si="29"/>
        <v>1.4818553348970297E-4</v>
      </c>
      <c r="V595" s="7" t="str" cm="1">
        <f t="array" ref="V595">_xlfn.IFS(HOUR(L594)&lt;12,"Morning",HOUR(L594)&lt;17,"Afternoon",HOUR(L594)&lt;21,"Evening",TRUE,"Night")</f>
        <v>Afternoon</v>
      </c>
    </row>
    <row r="596" spans="1:22" x14ac:dyDescent="0.3">
      <c r="A596" t="s">
        <v>686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  <c r="R596" s="5" t="str">
        <f t="shared" si="27"/>
        <v>Low Sale</v>
      </c>
      <c r="S596" s="7">
        <f t="shared" si="28"/>
        <v>4.7619047619047619</v>
      </c>
      <c r="T596" s="7" t="str" cm="1">
        <f t="array" ref="T596">_xlfn.IFS(Q595&gt;=8,"Excellent",Q595&gt;=6,"Good",Q595&gt;=4,"Average",TRUE,"Poor")</f>
        <v>Average</v>
      </c>
      <c r="U596" s="9">
        <f t="shared" si="29"/>
        <v>7.3345011749181626E-4</v>
      </c>
      <c r="V596" s="7" t="str" cm="1">
        <f t="array" ref="V596">_xlfn.IFS(HOUR(L595)&lt;12,"Morning",HOUR(L595)&lt;17,"Afternoon",HOUR(L595)&lt;21,"Evening",TRUE,"Night")</f>
        <v>Morning</v>
      </c>
    </row>
    <row r="597" spans="1:22" x14ac:dyDescent="0.3">
      <c r="A597" t="s">
        <v>687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5" t="str">
        <f t="shared" si="27"/>
        <v>Low Sale</v>
      </c>
      <c r="S597" s="7">
        <f t="shared" si="28"/>
        <v>4.7619047619047619</v>
      </c>
      <c r="T597" s="7" t="str" cm="1">
        <f t="array" ref="T597">_xlfn.IFS(Q596&gt;=8,"Excellent",Q596&gt;=6,"Good",Q596&gt;=4,"Average",TRUE,"Poor")</f>
        <v>Average</v>
      </c>
      <c r="U597" s="9">
        <f t="shared" si="29"/>
        <v>9.4412195975010407E-4</v>
      </c>
      <c r="V597" s="7" t="str" cm="1">
        <f t="array" ref="V597">_xlfn.IFS(HOUR(L596)&lt;12,"Morning",HOUR(L596)&lt;17,"Afternoon",HOUR(L596)&lt;21,"Evening",TRUE,"Night")</f>
        <v>Afternoon</v>
      </c>
    </row>
    <row r="598" spans="1:22" x14ac:dyDescent="0.3">
      <c r="A598" t="s">
        <v>688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  <c r="R598" s="5" t="str">
        <f t="shared" si="27"/>
        <v>Low Sale</v>
      </c>
      <c r="S598" s="7">
        <f t="shared" si="28"/>
        <v>4.7619047619047619</v>
      </c>
      <c r="T598" s="7" t="str" cm="1">
        <f t="array" ref="T598">_xlfn.IFS(Q597&gt;=8,"Excellent",Q597&gt;=6,"Good",Q597&gt;=4,"Average",TRUE,"Poor")</f>
        <v>Excellent</v>
      </c>
      <c r="U598" s="9">
        <f t="shared" si="29"/>
        <v>1.4454429177165849E-4</v>
      </c>
      <c r="V598" s="7" t="str" cm="1">
        <f t="array" ref="V598">_xlfn.IFS(HOUR(L597)&lt;12,"Morning",HOUR(L597)&lt;17,"Afternoon",HOUR(L597)&lt;21,"Evening",TRUE,"Night")</f>
        <v>Morning</v>
      </c>
    </row>
    <row r="599" spans="1:22" x14ac:dyDescent="0.3">
      <c r="A599" t="s">
        <v>689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  <c r="R599" s="5" t="str">
        <f t="shared" si="27"/>
        <v>Low Sale</v>
      </c>
      <c r="S599" s="7">
        <f t="shared" si="28"/>
        <v>4.7619047619047619</v>
      </c>
      <c r="T599" s="7" t="str" cm="1">
        <f t="array" ref="T599">_xlfn.IFS(Q598&gt;=8,"Excellent",Q598&gt;=6,"Good",Q598&gt;=4,"Average",TRUE,"Poor")</f>
        <v>Excellent</v>
      </c>
      <c r="U599" s="9">
        <f t="shared" si="29"/>
        <v>5.0912361879086186E-4</v>
      </c>
      <c r="V599" s="7" t="str" cm="1">
        <f t="array" ref="V599">_xlfn.IFS(HOUR(L598)&lt;12,"Morning",HOUR(L598)&lt;17,"Afternoon",HOUR(L598)&lt;21,"Evening",TRUE,"Night")</f>
        <v>Afternoon</v>
      </c>
    </row>
    <row r="600" spans="1:22" x14ac:dyDescent="0.3">
      <c r="A600" t="s">
        <v>690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5" t="str">
        <f t="shared" si="27"/>
        <v>Low Sale</v>
      </c>
      <c r="S600" s="7">
        <f t="shared" si="28"/>
        <v>4.7619047619047619</v>
      </c>
      <c r="T600" s="7" t="str" cm="1">
        <f t="array" ref="T600">_xlfn.IFS(Q599&gt;=8,"Excellent",Q599&gt;=6,"Good",Q599&gt;=4,"Average",TRUE,"Poor")</f>
        <v>Average</v>
      </c>
      <c r="U600" s="9">
        <f t="shared" si="29"/>
        <v>1.3652705777460698E-3</v>
      </c>
      <c r="V600" s="7" t="str" cm="1">
        <f t="array" ref="V600">_xlfn.IFS(HOUR(L599)&lt;12,"Morning",HOUR(L599)&lt;17,"Afternoon",HOUR(L599)&lt;21,"Evening",TRUE,"Night")</f>
        <v>Evening</v>
      </c>
    </row>
    <row r="601" spans="1:22" x14ac:dyDescent="0.3">
      <c r="A601" t="s">
        <v>691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  <c r="R601" s="5" t="str">
        <f t="shared" si="27"/>
        <v>Low Sale</v>
      </c>
      <c r="S601" s="7">
        <f t="shared" si="28"/>
        <v>4.7619047619047619</v>
      </c>
      <c r="T601" s="7" t="str" cm="1">
        <f t="array" ref="T601">_xlfn.IFS(Q600&gt;=8,"Excellent",Q600&gt;=6,"Good",Q600&gt;=4,"Average",TRUE,"Poor")</f>
        <v>Excellent</v>
      </c>
      <c r="U601" s="9">
        <f t="shared" si="29"/>
        <v>5.9901677370508488E-4</v>
      </c>
      <c r="V601" s="7" t="str" cm="1">
        <f t="array" ref="V601">_xlfn.IFS(HOUR(L600)&lt;12,"Morning",HOUR(L600)&lt;17,"Afternoon",HOUR(L600)&lt;21,"Evening",TRUE,"Night")</f>
        <v>Evening</v>
      </c>
    </row>
    <row r="602" spans="1:22" x14ac:dyDescent="0.3">
      <c r="A602" t="s">
        <v>692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  <c r="R602" s="5" t="str">
        <f t="shared" si="27"/>
        <v>Low Sale</v>
      </c>
      <c r="S602" s="7">
        <f t="shared" si="28"/>
        <v>4.7619047619047628</v>
      </c>
      <c r="T602" s="7" t="str" cm="1">
        <f t="array" ref="T602">_xlfn.IFS(Q601&gt;=8,"Excellent",Q601&gt;=6,"Good",Q601&gt;=4,"Average",TRUE,"Poor")</f>
        <v>Excellent</v>
      </c>
      <c r="U602" s="9">
        <f t="shared" si="29"/>
        <v>4.5723592430872804E-4</v>
      </c>
      <c r="V602" s="7" t="str" cm="1">
        <f t="array" ref="V602">_xlfn.IFS(HOUR(L601)&lt;12,"Morning",HOUR(L601)&lt;17,"Afternoon",HOUR(L601)&lt;21,"Evening",TRUE,"Night")</f>
        <v>Afternoon</v>
      </c>
    </row>
    <row r="603" spans="1:22" x14ac:dyDescent="0.3">
      <c r="A603" t="s">
        <v>693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  <c r="R603" s="5" t="str">
        <f t="shared" si="27"/>
        <v>Low Sale</v>
      </c>
      <c r="S603" s="7">
        <f t="shared" si="28"/>
        <v>4.7619047619047628</v>
      </c>
      <c r="T603" s="7" t="str" cm="1">
        <f t="array" ref="T603">_xlfn.IFS(Q602&gt;=8,"Excellent",Q602&gt;=6,"Good",Q602&gt;=4,"Average",TRUE,"Poor")</f>
        <v>Good</v>
      </c>
      <c r="U603" s="9">
        <f t="shared" si="29"/>
        <v>2.7010210887065645E-4</v>
      </c>
      <c r="V603" s="7" t="str" cm="1">
        <f t="array" ref="V603">_xlfn.IFS(HOUR(L602)&lt;12,"Morning",HOUR(L602)&lt;17,"Afternoon",HOUR(L602)&lt;21,"Evening",TRUE,"Night")</f>
        <v>Evening</v>
      </c>
    </row>
    <row r="604" spans="1:22" x14ac:dyDescent="0.3">
      <c r="A604" t="s">
        <v>694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357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  <c r="R604" s="5" t="str">
        <f t="shared" si="27"/>
        <v>Low Sale</v>
      </c>
      <c r="S604" s="7">
        <f t="shared" si="28"/>
        <v>4.761904761904761</v>
      </c>
      <c r="T604" s="7" t="str" cm="1">
        <f t="array" ref="T604">_xlfn.IFS(Q603&gt;=8,"Excellent",Q603&gt;=6,"Good",Q603&gt;=4,"Average",TRUE,"Poor")</f>
        <v>Average</v>
      </c>
      <c r="U604" s="9">
        <f t="shared" si="29"/>
        <v>2.112895529068845E-4</v>
      </c>
      <c r="V604" s="7" t="str" cm="1">
        <f t="array" ref="V604">_xlfn.IFS(HOUR(L603)&lt;12,"Morning",HOUR(L603)&lt;17,"Afternoon",HOUR(L603)&lt;21,"Evening",TRUE,"Night")</f>
        <v>Morning</v>
      </c>
    </row>
    <row r="605" spans="1:22" x14ac:dyDescent="0.3">
      <c r="A605" t="s">
        <v>695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  <c r="R605" s="5" t="str">
        <f t="shared" si="27"/>
        <v>Medium Sale</v>
      </c>
      <c r="S605" s="7">
        <f t="shared" si="28"/>
        <v>4.7619047619047628</v>
      </c>
      <c r="T605" s="7" t="str" cm="1">
        <f t="array" ref="T605">_xlfn.IFS(Q604&gt;=8,"Excellent",Q604&gt;=6,"Good",Q604&gt;=4,"Average",TRUE,"Poor")</f>
        <v>Good</v>
      </c>
      <c r="U605" s="9">
        <f t="shared" si="29"/>
        <v>2.5215598897458009E-3</v>
      </c>
      <c r="V605" s="7" t="str" cm="1">
        <f t="array" ref="V605">_xlfn.IFS(HOUR(L604)&lt;12,"Morning",HOUR(L604)&lt;17,"Afternoon",HOUR(L604)&lt;21,"Evening",TRUE,"Night")</f>
        <v>Evening</v>
      </c>
    </row>
    <row r="606" spans="1:22" x14ac:dyDescent="0.3">
      <c r="A606" t="s">
        <v>696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  <c r="R606" s="5" t="str">
        <f t="shared" si="27"/>
        <v>Low Sale</v>
      </c>
      <c r="S606" s="7">
        <f t="shared" si="28"/>
        <v>4.7619047619047628</v>
      </c>
      <c r="T606" s="7" t="str" cm="1">
        <f t="array" ref="T606">_xlfn.IFS(Q605&gt;=8,"Excellent",Q605&gt;=6,"Good",Q605&gt;=4,"Average",TRUE,"Poor")</f>
        <v>Good</v>
      </c>
      <c r="U606" s="9">
        <f t="shared" si="29"/>
        <v>1.0633076038425243E-3</v>
      </c>
      <c r="V606" s="7" t="str" cm="1">
        <f t="array" ref="V606">_xlfn.IFS(HOUR(L605)&lt;12,"Morning",HOUR(L605)&lt;17,"Afternoon",HOUR(L605)&lt;21,"Evening",TRUE,"Night")</f>
        <v>Afternoon</v>
      </c>
    </row>
    <row r="607" spans="1:22" x14ac:dyDescent="0.3">
      <c r="A607" t="s">
        <v>697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  <c r="R607" s="5" t="str">
        <f t="shared" si="27"/>
        <v>Low Sale</v>
      </c>
      <c r="S607" s="7">
        <f t="shared" si="28"/>
        <v>4.7619047619047619</v>
      </c>
      <c r="T607" s="7" t="str" cm="1">
        <f t="array" ref="T607">_xlfn.IFS(Q606&gt;=8,"Excellent",Q606&gt;=6,"Good",Q606&gt;=4,"Average",TRUE,"Poor")</f>
        <v>Average</v>
      </c>
      <c r="U607" s="9">
        <f t="shared" si="29"/>
        <v>1.1809002046832997E-3</v>
      </c>
      <c r="V607" s="7" t="str" cm="1">
        <f t="array" ref="V607">_xlfn.IFS(HOUR(L606)&lt;12,"Morning",HOUR(L606)&lt;17,"Afternoon",HOUR(L606)&lt;21,"Evening",TRUE,"Night")</f>
        <v>Evening</v>
      </c>
    </row>
    <row r="608" spans="1:22" x14ac:dyDescent="0.3">
      <c r="A608" t="s">
        <v>698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  <c r="R608" s="5" t="str">
        <f t="shared" si="27"/>
        <v>Low Sale</v>
      </c>
      <c r="S608" s="7">
        <f t="shared" si="28"/>
        <v>4.7619047619047619</v>
      </c>
      <c r="T608" s="7" t="str" cm="1">
        <f t="array" ref="T608">_xlfn.IFS(Q607&gt;=8,"Excellent",Q607&gt;=6,"Good",Q607&gt;=4,"Average",TRUE,"Poor")</f>
        <v>Excellent</v>
      </c>
      <c r="U608" s="9">
        <f t="shared" si="29"/>
        <v>4.1289080195682919E-4</v>
      </c>
      <c r="V608" s="7" t="str" cm="1">
        <f t="array" ref="V608">_xlfn.IFS(HOUR(L607)&lt;12,"Morning",HOUR(L607)&lt;17,"Afternoon",HOUR(L607)&lt;21,"Evening",TRUE,"Night")</f>
        <v>Afternoon</v>
      </c>
    </row>
    <row r="609" spans="1:22" x14ac:dyDescent="0.3">
      <c r="A609" t="s">
        <v>699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  <c r="R609" s="5" t="str">
        <f t="shared" si="27"/>
        <v>Low Sale</v>
      </c>
      <c r="S609" s="7">
        <f t="shared" si="28"/>
        <v>4.7619047619047628</v>
      </c>
      <c r="T609" s="7" t="str" cm="1">
        <f t="array" ref="T609">_xlfn.IFS(Q608&gt;=8,"Excellent",Q608&gt;=6,"Good",Q608&gt;=4,"Average",TRUE,"Poor")</f>
        <v>Average</v>
      </c>
      <c r="U609" s="9">
        <f t="shared" si="29"/>
        <v>1.2209538635817891E-3</v>
      </c>
      <c r="V609" s="7" t="str" cm="1">
        <f t="array" ref="V609">_xlfn.IFS(HOUR(L608)&lt;12,"Morning",HOUR(L608)&lt;17,"Afternoon",HOUR(L608)&lt;21,"Evening",TRUE,"Night")</f>
        <v>Afternoon</v>
      </c>
    </row>
    <row r="610" spans="1:22" x14ac:dyDescent="0.3">
      <c r="A610" t="s">
        <v>700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  <c r="R610" s="5" t="str">
        <f t="shared" si="27"/>
        <v>Low Sale</v>
      </c>
      <c r="S610" s="7">
        <f t="shared" si="28"/>
        <v>4.7619047619047628</v>
      </c>
      <c r="T610" s="7" t="str" cm="1">
        <f t="array" ref="T610">_xlfn.IFS(Q609&gt;=8,"Excellent",Q609&gt;=6,"Good",Q609&gt;=4,"Average",TRUE,"Poor")</f>
        <v>Good</v>
      </c>
      <c r="U610" s="9">
        <f t="shared" si="29"/>
        <v>6.47490804076552E-4</v>
      </c>
      <c r="V610" s="7" t="str" cm="1">
        <f t="array" ref="V610">_xlfn.IFS(HOUR(L609)&lt;12,"Morning",HOUR(L609)&lt;17,"Afternoon",HOUR(L609)&lt;21,"Evening",TRUE,"Night")</f>
        <v>Evening</v>
      </c>
    </row>
    <row r="611" spans="1:22" x14ac:dyDescent="0.3">
      <c r="A611" t="s">
        <v>701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  <c r="R611" s="5" t="str">
        <f t="shared" si="27"/>
        <v>Low Sale</v>
      </c>
      <c r="S611" s="7">
        <f t="shared" si="28"/>
        <v>4.7619047619047619</v>
      </c>
      <c r="T611" s="7" t="str" cm="1">
        <f t="array" ref="T611">_xlfn.IFS(Q610&gt;=8,"Excellent",Q610&gt;=6,"Good",Q610&gt;=4,"Average",TRUE,"Poor")</f>
        <v>Average</v>
      </c>
      <c r="U611" s="9">
        <f t="shared" si="29"/>
        <v>9.9516436597626325E-5</v>
      </c>
      <c r="V611" s="7" t="str" cm="1">
        <f t="array" ref="V611">_xlfn.IFS(HOUR(L610)&lt;12,"Morning",HOUR(L610)&lt;17,"Afternoon",HOUR(L610)&lt;21,"Evening",TRUE,"Night")</f>
        <v>Afternoon</v>
      </c>
    </row>
    <row r="612" spans="1:22" x14ac:dyDescent="0.3">
      <c r="A612" t="s">
        <v>702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  <c r="R612" s="5" t="str">
        <f t="shared" si="27"/>
        <v>Low Sale</v>
      </c>
      <c r="S612" s="7">
        <f t="shared" si="28"/>
        <v>4.7619047619047619</v>
      </c>
      <c r="T612" s="7" t="str" cm="1">
        <f t="array" ref="T612">_xlfn.IFS(Q611&gt;=8,"Excellent",Q611&gt;=6,"Good",Q611&gt;=4,"Average",TRUE,"Poor")</f>
        <v>Excellent</v>
      </c>
      <c r="U612" s="9">
        <f t="shared" si="29"/>
        <v>3.7641336260284795E-4</v>
      </c>
      <c r="V612" s="7" t="str" cm="1">
        <f t="array" ref="V612">_xlfn.IFS(HOUR(L611)&lt;12,"Morning",HOUR(L611)&lt;17,"Afternoon",HOUR(L611)&lt;21,"Evening",TRUE,"Night")</f>
        <v>Morning</v>
      </c>
    </row>
    <row r="613" spans="1:22" x14ac:dyDescent="0.3">
      <c r="A613" t="s">
        <v>703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  <c r="R613" s="5" t="str">
        <f t="shared" si="27"/>
        <v>Low Sale</v>
      </c>
      <c r="S613" s="7">
        <f t="shared" si="28"/>
        <v>4.7619047619047619</v>
      </c>
      <c r="T613" s="7" t="str" cm="1">
        <f t="array" ref="T613">_xlfn.IFS(Q612&gt;=8,"Excellent",Q612&gt;=6,"Good",Q612&gt;=4,"Average",TRUE,"Poor")</f>
        <v>Good</v>
      </c>
      <c r="U613" s="9">
        <f t="shared" si="29"/>
        <v>9.415210728086437E-5</v>
      </c>
      <c r="V613" s="7" t="str" cm="1">
        <f t="array" ref="V613">_xlfn.IFS(HOUR(L612)&lt;12,"Morning",HOUR(L612)&lt;17,"Afternoon",HOUR(L612)&lt;21,"Evening",TRUE,"Night")</f>
        <v>Morning</v>
      </c>
    </row>
    <row r="614" spans="1:22" x14ac:dyDescent="0.3">
      <c r="A614" t="s">
        <v>704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  <c r="R614" s="5" t="str">
        <f t="shared" si="27"/>
        <v>Medium Sale</v>
      </c>
      <c r="S614" s="7">
        <f t="shared" si="28"/>
        <v>4.7619047619047619</v>
      </c>
      <c r="T614" s="7" t="str" cm="1">
        <f t="array" ref="T614">_xlfn.IFS(Q613&gt;=8,"Excellent",Q613&gt;=6,"Good",Q613&gt;=4,"Average",TRUE,"Poor")</f>
        <v>Good</v>
      </c>
      <c r="U614" s="9">
        <f t="shared" si="29"/>
        <v>2.8958600317087126E-3</v>
      </c>
      <c r="V614" s="7" t="str" cm="1">
        <f t="array" ref="V614">_xlfn.IFS(HOUR(L613)&lt;12,"Morning",HOUR(L613)&lt;17,"Afternoon",HOUR(L613)&lt;21,"Evening",TRUE,"Night")</f>
        <v>Morning</v>
      </c>
    </row>
    <row r="615" spans="1:22" x14ac:dyDescent="0.3">
      <c r="A615" t="s">
        <v>705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  <c r="R615" s="5" t="str">
        <f t="shared" si="27"/>
        <v>Low Sale</v>
      </c>
      <c r="S615" s="7">
        <f t="shared" si="28"/>
        <v>4.7619047619047628</v>
      </c>
      <c r="T615" s="7" t="str" cm="1">
        <f t="array" ref="T615">_xlfn.IFS(Q614&gt;=8,"Excellent",Q614&gt;=6,"Good",Q614&gt;=4,"Average",TRUE,"Poor")</f>
        <v>Good</v>
      </c>
      <c r="U615" s="9">
        <f t="shared" si="29"/>
        <v>9.092050525609988E-4</v>
      </c>
      <c r="V615" s="7" t="str" cm="1">
        <f t="array" ref="V615">_xlfn.IFS(HOUR(L614)&lt;12,"Morning",HOUR(L614)&lt;17,"Afternoon",HOUR(L614)&lt;21,"Evening",TRUE,"Night")</f>
        <v>Morning</v>
      </c>
    </row>
    <row r="616" spans="1:22" x14ac:dyDescent="0.3">
      <c r="A616" t="s">
        <v>706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  <c r="R616" s="5" t="str">
        <f t="shared" si="27"/>
        <v>Low Sale</v>
      </c>
      <c r="S616" s="7">
        <f t="shared" si="28"/>
        <v>4.7619047619047619</v>
      </c>
      <c r="T616" s="7" t="str" cm="1">
        <f t="array" ref="T616">_xlfn.IFS(Q615&gt;=8,"Excellent",Q615&gt;=6,"Good",Q615&gt;=4,"Average",TRUE,"Poor")</f>
        <v>Excellent</v>
      </c>
      <c r="U616" s="9">
        <f t="shared" si="29"/>
        <v>2.6311222521548181E-4</v>
      </c>
      <c r="V616" s="7" t="str" cm="1">
        <f t="array" ref="V616">_xlfn.IFS(HOUR(L615)&lt;12,"Morning",HOUR(L615)&lt;17,"Afternoon",HOUR(L615)&lt;21,"Evening",TRUE,"Night")</f>
        <v>Afternoon</v>
      </c>
    </row>
    <row r="617" spans="1:22" x14ac:dyDescent="0.3">
      <c r="A617" t="s">
        <v>707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298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  <c r="R617" s="5" t="str">
        <f t="shared" si="27"/>
        <v>Medium Sale</v>
      </c>
      <c r="S617" s="7">
        <f t="shared" si="28"/>
        <v>4.7619047619047619</v>
      </c>
      <c r="T617" s="7" t="str" cm="1">
        <f t="array" ref="T617">_xlfn.IFS(Q616&gt;=8,"Excellent",Q616&gt;=6,"Good",Q616&gt;=4,"Average",TRUE,"Poor")</f>
        <v>Average</v>
      </c>
      <c r="U617" s="9">
        <f t="shared" si="29"/>
        <v>2.1928728025187505E-3</v>
      </c>
      <c r="V617" s="7" t="str" cm="1">
        <f t="array" ref="V617">_xlfn.IFS(HOUR(L616)&lt;12,"Morning",HOUR(L616)&lt;17,"Afternoon",HOUR(L616)&lt;21,"Evening",TRUE,"Night")</f>
        <v>Morning</v>
      </c>
    </row>
    <row r="618" spans="1:22" x14ac:dyDescent="0.3">
      <c r="A618" t="s">
        <v>708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  <c r="R618" s="5" t="str">
        <f t="shared" si="27"/>
        <v>Low Sale</v>
      </c>
      <c r="S618" s="7">
        <f t="shared" si="28"/>
        <v>4.7619047619047619</v>
      </c>
      <c r="T618" s="7" t="str" cm="1">
        <f t="array" ref="T618">_xlfn.IFS(Q617&gt;=8,"Excellent",Q617&gt;=6,"Good",Q617&gt;=4,"Average",TRUE,"Poor")</f>
        <v>Average</v>
      </c>
      <c r="U618" s="9">
        <f t="shared" si="29"/>
        <v>1.1329463517001247E-3</v>
      </c>
      <c r="V618" s="7" t="str" cm="1">
        <f t="array" ref="V618">_xlfn.IFS(HOUR(L617)&lt;12,"Morning",HOUR(L617)&lt;17,"Afternoon",HOUR(L617)&lt;21,"Evening",TRUE,"Night")</f>
        <v>Afternoon</v>
      </c>
    </row>
    <row r="619" spans="1:22" x14ac:dyDescent="0.3">
      <c r="A619" t="s">
        <v>709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357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5" t="str">
        <f t="shared" si="27"/>
        <v>Low Sale</v>
      </c>
      <c r="S619" s="7">
        <f t="shared" si="28"/>
        <v>4.7619047619047628</v>
      </c>
      <c r="T619" s="7" t="str" cm="1">
        <f t="array" ref="T619">_xlfn.IFS(Q618&gt;=8,"Excellent",Q618&gt;=6,"Good",Q618&gt;=4,"Average",TRUE,"Poor")</f>
        <v>Good</v>
      </c>
      <c r="U619" s="9">
        <f t="shared" si="29"/>
        <v>1.4161829396251559E-3</v>
      </c>
      <c r="V619" s="7" t="str" cm="1">
        <f t="array" ref="V619">_xlfn.IFS(HOUR(L618)&lt;12,"Morning",HOUR(L618)&lt;17,"Afternoon",HOUR(L618)&lt;21,"Evening",TRUE,"Night")</f>
        <v>Evening</v>
      </c>
    </row>
    <row r="620" spans="1:22" x14ac:dyDescent="0.3">
      <c r="A620" t="s">
        <v>710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  <c r="R620" s="5" t="str">
        <f t="shared" si="27"/>
        <v>Low Sale</v>
      </c>
      <c r="S620" s="7">
        <f t="shared" si="28"/>
        <v>4.7619047619047619</v>
      </c>
      <c r="T620" s="7" t="str" cm="1">
        <f t="array" ref="T620">_xlfn.IFS(Q619&gt;=8,"Excellent",Q619&gt;=6,"Good",Q619&gt;=4,"Average",TRUE,"Poor")</f>
        <v>Average</v>
      </c>
      <c r="U620" s="9">
        <f t="shared" si="29"/>
        <v>1.4290248188986163E-3</v>
      </c>
      <c r="V620" s="7" t="str" cm="1">
        <f t="array" ref="V620">_xlfn.IFS(HOUR(L619)&lt;12,"Morning",HOUR(L619)&lt;17,"Afternoon",HOUR(L619)&lt;21,"Evening",TRUE,"Night")</f>
        <v>Evening</v>
      </c>
    </row>
    <row r="621" spans="1:22" x14ac:dyDescent="0.3">
      <c r="A621" t="s">
        <v>711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  <c r="R621" s="5" t="str">
        <f t="shared" si="27"/>
        <v>Medium Sale</v>
      </c>
      <c r="S621" s="7">
        <f t="shared" si="28"/>
        <v>4.7619047619047619</v>
      </c>
      <c r="T621" s="7" t="str" cm="1">
        <f t="array" ref="T621">_xlfn.IFS(Q620&gt;=8,"Excellent",Q620&gt;=6,"Good",Q620&gt;=4,"Average",TRUE,"Poor")</f>
        <v>Average</v>
      </c>
      <c r="U621" s="9">
        <f t="shared" si="29"/>
        <v>1.921990427565656E-3</v>
      </c>
      <c r="V621" s="7" t="str" cm="1">
        <f t="array" ref="V621">_xlfn.IFS(HOUR(L620)&lt;12,"Morning",HOUR(L620)&lt;17,"Afternoon",HOUR(L620)&lt;21,"Evening",TRUE,"Night")</f>
        <v>Morning</v>
      </c>
    </row>
    <row r="622" spans="1:22" x14ac:dyDescent="0.3">
      <c r="A622" t="s">
        <v>712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5" t="str">
        <f t="shared" si="27"/>
        <v>Low Sale</v>
      </c>
      <c r="S622" s="7">
        <f t="shared" si="28"/>
        <v>4.7619047619047619</v>
      </c>
      <c r="T622" s="7" t="str" cm="1">
        <f t="array" ref="T622">_xlfn.IFS(Q621&gt;=8,"Excellent",Q621&gt;=6,"Good",Q621&gt;=4,"Average",TRUE,"Poor")</f>
        <v>Excellent</v>
      </c>
      <c r="U622" s="9">
        <f t="shared" si="29"/>
        <v>8.4775909856899835E-4</v>
      </c>
      <c r="V622" s="7" t="str" cm="1">
        <f t="array" ref="V622">_xlfn.IFS(HOUR(L621)&lt;12,"Morning",HOUR(L621)&lt;17,"Afternoon",HOUR(L621)&lt;21,"Evening",TRUE,"Night")</f>
        <v>Evening</v>
      </c>
    </row>
    <row r="623" spans="1:22" x14ac:dyDescent="0.3">
      <c r="A623" t="s">
        <v>713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298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5" t="str">
        <f t="shared" si="27"/>
        <v>Low Sale</v>
      </c>
      <c r="S623" s="7">
        <f t="shared" si="28"/>
        <v>4.7619047619047628</v>
      </c>
      <c r="T623" s="7" t="str" cm="1">
        <f t="array" ref="T623">_xlfn.IFS(Q622&gt;=8,"Excellent",Q622&gt;=6,"Good",Q622&gt;=4,"Average",TRUE,"Poor")</f>
        <v>Excellent</v>
      </c>
      <c r="U623" s="9">
        <f t="shared" si="29"/>
        <v>6.9911840986453986E-4</v>
      </c>
      <c r="V623" s="7" t="str" cm="1">
        <f t="array" ref="V623">_xlfn.IFS(HOUR(L622)&lt;12,"Morning",HOUR(L622)&lt;17,"Afternoon",HOUR(L622)&lt;21,"Evening",TRUE,"Night")</f>
        <v>Afternoon</v>
      </c>
    </row>
    <row r="624" spans="1:22" x14ac:dyDescent="0.3">
      <c r="A624" t="s">
        <v>714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5" t="str">
        <f t="shared" si="27"/>
        <v>Low Sale</v>
      </c>
      <c r="S624" s="7">
        <f t="shared" si="28"/>
        <v>4.7619047619047619</v>
      </c>
      <c r="T624" s="7" t="str" cm="1">
        <f t="array" ref="T624">_xlfn.IFS(Q623&gt;=8,"Excellent",Q623&gt;=6,"Good",Q623&gt;=4,"Average",TRUE,"Poor")</f>
        <v>Excellent</v>
      </c>
      <c r="U624" s="9">
        <f t="shared" si="29"/>
        <v>2.9783406588397739E-4</v>
      </c>
      <c r="V624" s="7" t="str" cm="1">
        <f t="array" ref="V624">_xlfn.IFS(HOUR(L623)&lt;12,"Morning",HOUR(L623)&lt;17,"Afternoon",HOUR(L623)&lt;21,"Evening",TRUE,"Night")</f>
        <v>Evening</v>
      </c>
    </row>
    <row r="625" spans="1:22" x14ac:dyDescent="0.3">
      <c r="A625" t="s">
        <v>715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  <c r="R625" s="5" t="str">
        <f t="shared" si="27"/>
        <v>Medium Sale</v>
      </c>
      <c r="S625" s="7">
        <f t="shared" si="28"/>
        <v>4.7619047619047619</v>
      </c>
      <c r="T625" s="7" t="str" cm="1">
        <f t="array" ref="T625">_xlfn.IFS(Q624&gt;=8,"Excellent",Q624&gt;=6,"Good",Q624&gt;=4,"Average",TRUE,"Poor")</f>
        <v>Average</v>
      </c>
      <c r="U625" s="9">
        <f t="shared" si="29"/>
        <v>2.1526565881864199E-3</v>
      </c>
      <c r="V625" s="7" t="str" cm="1">
        <f t="array" ref="V625">_xlfn.IFS(HOUR(L624)&lt;12,"Morning",HOUR(L624)&lt;17,"Afternoon",HOUR(L624)&lt;21,"Evening",TRUE,"Night")</f>
        <v>Afternoon</v>
      </c>
    </row>
    <row r="626" spans="1:22" x14ac:dyDescent="0.3">
      <c r="A626" t="s">
        <v>716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  <c r="R626" s="5" t="str">
        <f t="shared" si="27"/>
        <v>Medium Sale</v>
      </c>
      <c r="S626" s="7">
        <f t="shared" si="28"/>
        <v>4.7619047619047619</v>
      </c>
      <c r="T626" s="7" t="str" cm="1">
        <f t="array" ref="T626">_xlfn.IFS(Q625&gt;=8,"Excellent",Q625&gt;=6,"Good",Q625&gt;=4,"Average",TRUE,"Poor")</f>
        <v>Average</v>
      </c>
      <c r="U626" s="9">
        <f t="shared" si="29"/>
        <v>2.7065479734571679E-3</v>
      </c>
      <c r="V626" s="7" t="str" cm="1">
        <f t="array" ref="V626">_xlfn.IFS(HOUR(L625)&lt;12,"Morning",HOUR(L625)&lt;17,"Afternoon",HOUR(L625)&lt;21,"Evening",TRUE,"Night")</f>
        <v>Morning</v>
      </c>
    </row>
    <row r="627" spans="1:22" x14ac:dyDescent="0.3">
      <c r="A627" t="s">
        <v>717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  <c r="R627" s="5" t="str">
        <f t="shared" si="27"/>
        <v>Low Sale</v>
      </c>
      <c r="S627" s="7">
        <f t="shared" si="28"/>
        <v>4.7619047619047619</v>
      </c>
      <c r="T627" s="7" t="str" cm="1">
        <f t="array" ref="T627">_xlfn.IFS(Q626&gt;=8,"Excellent",Q626&gt;=6,"Good",Q626&gt;=4,"Average",TRUE,"Poor")</f>
        <v>Good</v>
      </c>
      <c r="U627" s="9">
        <f t="shared" si="29"/>
        <v>2.9698877762800277E-4</v>
      </c>
      <c r="V627" s="7" t="str" cm="1">
        <f t="array" ref="V627">_xlfn.IFS(HOUR(L626)&lt;12,"Morning",HOUR(L626)&lt;17,"Afternoon",HOUR(L626)&lt;21,"Evening",TRUE,"Night")</f>
        <v>Afternoon</v>
      </c>
    </row>
    <row r="628" spans="1:22" x14ac:dyDescent="0.3">
      <c r="A628" t="s">
        <v>718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5" t="str">
        <f t="shared" si="27"/>
        <v>Low Sale</v>
      </c>
      <c r="S628" s="7">
        <f t="shared" si="28"/>
        <v>4.7619047619047619</v>
      </c>
      <c r="T628" s="7" t="str" cm="1">
        <f t="array" ref="T628">_xlfn.IFS(Q627&gt;=8,"Excellent",Q627&gt;=6,"Good",Q627&gt;=4,"Average",TRUE,"Poor")</f>
        <v>Excellent</v>
      </c>
      <c r="U628" s="9">
        <f t="shared" si="29"/>
        <v>5.1289490485597938E-4</v>
      </c>
      <c r="V628" s="7" t="str" cm="1">
        <f t="array" ref="V628">_xlfn.IFS(HOUR(L627)&lt;12,"Morning",HOUR(L627)&lt;17,"Afternoon",HOUR(L627)&lt;21,"Evening",TRUE,"Night")</f>
        <v>Afternoon</v>
      </c>
    </row>
    <row r="629" spans="1:22" x14ac:dyDescent="0.3">
      <c r="A629" t="s">
        <v>719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357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  <c r="R629" s="5" t="str">
        <f t="shared" si="27"/>
        <v>Low Sale</v>
      </c>
      <c r="S629" s="7">
        <f t="shared" si="28"/>
        <v>4.7619047619047619</v>
      </c>
      <c r="T629" s="7" t="str" cm="1">
        <f t="array" ref="T629">_xlfn.IFS(Q628&gt;=8,"Excellent",Q628&gt;=6,"Good",Q628&gt;=4,"Average",TRUE,"Poor")</f>
        <v>Excellent</v>
      </c>
      <c r="U629" s="9">
        <f t="shared" si="29"/>
        <v>3.9578997031672748E-4</v>
      </c>
      <c r="V629" s="7" t="str" cm="1">
        <f t="array" ref="V629">_xlfn.IFS(HOUR(L628)&lt;12,"Morning",HOUR(L628)&lt;17,"Afternoon",HOUR(L628)&lt;21,"Evening",TRUE,"Night")</f>
        <v>Afternoon</v>
      </c>
    </row>
    <row r="630" spans="1:22" x14ac:dyDescent="0.3">
      <c r="A630" t="s">
        <v>720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  <c r="R630" s="5" t="str">
        <f t="shared" si="27"/>
        <v>Medium Sale</v>
      </c>
      <c r="S630" s="7">
        <f t="shared" si="28"/>
        <v>4.7619047619047619</v>
      </c>
      <c r="T630" s="7" t="str" cm="1">
        <f t="array" ref="T630">_xlfn.IFS(Q629&gt;=8,"Excellent",Q629&gt;=6,"Good",Q629&gt;=4,"Average",TRUE,"Poor")</f>
        <v>Average</v>
      </c>
      <c r="U630" s="9">
        <f t="shared" si="29"/>
        <v>2.6847655453224378E-3</v>
      </c>
      <c r="V630" s="7" t="str" cm="1">
        <f t="array" ref="V630">_xlfn.IFS(HOUR(L629)&lt;12,"Morning",HOUR(L629)&lt;17,"Afternoon",HOUR(L629)&lt;21,"Evening",TRUE,"Night")</f>
        <v>Afternoon</v>
      </c>
    </row>
    <row r="631" spans="1:22" x14ac:dyDescent="0.3">
      <c r="A631" t="s">
        <v>721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5" t="str">
        <f t="shared" si="27"/>
        <v>Low Sale</v>
      </c>
      <c r="S631" s="7">
        <f t="shared" si="28"/>
        <v>4.7619047619047619</v>
      </c>
      <c r="T631" s="7" t="str" cm="1">
        <f t="array" ref="T631">_xlfn.IFS(Q630&gt;=8,"Excellent",Q630&gt;=6,"Good",Q630&gt;=4,"Average",TRUE,"Poor")</f>
        <v>Good</v>
      </c>
      <c r="U631" s="9">
        <f t="shared" si="29"/>
        <v>5.1985227742438577E-4</v>
      </c>
      <c r="V631" s="7" t="str" cm="1">
        <f t="array" ref="V631">_xlfn.IFS(HOUR(L630)&lt;12,"Morning",HOUR(L630)&lt;17,"Afternoon",HOUR(L630)&lt;21,"Evening",TRUE,"Night")</f>
        <v>Afternoon</v>
      </c>
    </row>
    <row r="632" spans="1:22" x14ac:dyDescent="0.3">
      <c r="A632" t="s">
        <v>722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  <c r="R632" s="5" t="str">
        <f t="shared" si="27"/>
        <v>Low Sale</v>
      </c>
      <c r="S632" s="7">
        <f t="shared" si="28"/>
        <v>4.7619047619047628</v>
      </c>
      <c r="T632" s="7" t="str" cm="1">
        <f t="array" ref="T632">_xlfn.IFS(Q631&gt;=8,"Excellent",Q631&gt;=6,"Good",Q631&gt;=4,"Average",TRUE,"Poor")</f>
        <v>Excellent</v>
      </c>
      <c r="U632" s="9">
        <f t="shared" si="29"/>
        <v>3.9305903902819412E-5</v>
      </c>
      <c r="V632" s="7" t="str" cm="1">
        <f t="array" ref="V632">_xlfn.IFS(HOUR(L631)&lt;12,"Morning",HOUR(L631)&lt;17,"Afternoon",HOUR(L631)&lt;21,"Evening",TRUE,"Night")</f>
        <v>Evening</v>
      </c>
    </row>
    <row r="633" spans="1:22" x14ac:dyDescent="0.3">
      <c r="A633" t="s">
        <v>723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  <c r="R633" s="5" t="str">
        <f t="shared" si="27"/>
        <v>Medium Sale</v>
      </c>
      <c r="S633" s="7">
        <f t="shared" si="28"/>
        <v>4.7619047619047619</v>
      </c>
      <c r="T633" s="7" t="str" cm="1">
        <f t="array" ref="T633">_xlfn.IFS(Q632&gt;=8,"Excellent",Q632&gt;=6,"Good",Q632&gt;=4,"Average",TRUE,"Poor")</f>
        <v>Good</v>
      </c>
      <c r="U633" s="9">
        <f t="shared" si="29"/>
        <v>2.0868866596542414E-3</v>
      </c>
      <c r="V633" s="7" t="str" cm="1">
        <f t="array" ref="V633">_xlfn.IFS(HOUR(L632)&lt;12,"Morning",HOUR(L632)&lt;17,"Afternoon",HOUR(L632)&lt;21,"Evening",TRUE,"Night")</f>
        <v>Afternoon</v>
      </c>
    </row>
    <row r="634" spans="1:22" x14ac:dyDescent="0.3">
      <c r="A634" t="s">
        <v>724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  <c r="R634" s="5" t="str">
        <f t="shared" si="27"/>
        <v>Low Sale</v>
      </c>
      <c r="S634" s="7">
        <f t="shared" si="28"/>
        <v>4.7619047619047619</v>
      </c>
      <c r="T634" s="7" t="str" cm="1">
        <f t="array" ref="T634">_xlfn.IFS(Q633&gt;=8,"Excellent",Q633&gt;=6,"Good",Q633&gt;=4,"Average",TRUE,"Poor")</f>
        <v>Average</v>
      </c>
      <c r="U634" s="9">
        <f t="shared" si="29"/>
        <v>7.6378296144659753E-4</v>
      </c>
      <c r="V634" s="7" t="str" cm="1">
        <f t="array" ref="V634">_xlfn.IFS(HOUR(L633)&lt;12,"Morning",HOUR(L633)&lt;17,"Afternoon",HOUR(L633)&lt;21,"Evening",TRUE,"Night")</f>
        <v>Afternoon</v>
      </c>
    </row>
    <row r="635" spans="1:22" x14ac:dyDescent="0.3">
      <c r="A635" t="s">
        <v>725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292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  <c r="R635" s="5" t="str">
        <f t="shared" si="27"/>
        <v>Low Sale</v>
      </c>
      <c r="S635" s="7">
        <f t="shared" si="28"/>
        <v>4.7619047619047628</v>
      </c>
      <c r="T635" s="7" t="str" cm="1">
        <f t="array" ref="T635">_xlfn.IFS(Q634&gt;=8,"Excellent",Q634&gt;=6,"Good",Q634&gt;=4,"Average",TRUE,"Poor")</f>
        <v>Good</v>
      </c>
      <c r="U635" s="9">
        <f t="shared" si="29"/>
        <v>5.4469074771533205E-4</v>
      </c>
      <c r="V635" s="7" t="str" cm="1">
        <f t="array" ref="V635">_xlfn.IFS(HOUR(L634)&lt;12,"Morning",HOUR(L634)&lt;17,"Afternoon",HOUR(L634)&lt;21,"Evening",TRUE,"Night")</f>
        <v>Morning</v>
      </c>
    </row>
    <row r="636" spans="1:22" x14ac:dyDescent="0.3">
      <c r="A636" t="s">
        <v>726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298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  <c r="R636" s="5" t="str">
        <f t="shared" si="27"/>
        <v>Low Sale</v>
      </c>
      <c r="S636" s="7">
        <f t="shared" si="28"/>
        <v>4.7619047619047619</v>
      </c>
      <c r="T636" s="7" t="str" cm="1">
        <f t="array" ref="T636">_xlfn.IFS(Q635&gt;=8,"Excellent",Q635&gt;=6,"Good",Q635&gt;=4,"Average",TRUE,"Poor")</f>
        <v>Average</v>
      </c>
      <c r="U636" s="9">
        <f t="shared" si="29"/>
        <v>9.7240660523848518E-4</v>
      </c>
      <c r="V636" s="7" t="str" cm="1">
        <f t="array" ref="V636">_xlfn.IFS(HOUR(L635)&lt;12,"Morning",HOUR(L635)&lt;17,"Afternoon",HOUR(L635)&lt;21,"Evening",TRUE,"Night")</f>
        <v>Morning</v>
      </c>
    </row>
    <row r="637" spans="1:22" x14ac:dyDescent="0.3">
      <c r="A637" t="s">
        <v>727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  <c r="R637" s="5" t="str">
        <f t="shared" si="27"/>
        <v>Low Sale</v>
      </c>
      <c r="S637" s="7">
        <f t="shared" si="28"/>
        <v>4.7619047619047619</v>
      </c>
      <c r="T637" s="7" t="str" cm="1">
        <f t="array" ref="T637">_xlfn.IFS(Q636&gt;=8,"Excellent",Q636&gt;=6,"Good",Q636&gt;=4,"Average",TRUE,"Poor")</f>
        <v>Average</v>
      </c>
      <c r="U637" s="9">
        <f t="shared" si="29"/>
        <v>7.7938828309535955E-4</v>
      </c>
      <c r="V637" s="7" t="str" cm="1">
        <f t="array" ref="V637">_xlfn.IFS(HOUR(L636)&lt;12,"Morning",HOUR(L636)&lt;17,"Afternoon",HOUR(L636)&lt;21,"Evening",TRUE,"Night")</f>
        <v>Evening</v>
      </c>
    </row>
    <row r="638" spans="1:22" x14ac:dyDescent="0.3">
      <c r="A638" t="s">
        <v>728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  <c r="R638" s="5" t="str">
        <f t="shared" si="27"/>
        <v>Medium Sale</v>
      </c>
      <c r="S638" s="7">
        <f t="shared" si="28"/>
        <v>4.7619047619047628</v>
      </c>
      <c r="T638" s="7" t="str" cm="1">
        <f t="array" ref="T638">_xlfn.IFS(Q637&gt;=8,"Excellent",Q637&gt;=6,"Good",Q637&gt;=4,"Average",TRUE,"Poor")</f>
        <v>Average</v>
      </c>
      <c r="U638" s="9">
        <f t="shared" si="29"/>
        <v>2.1610119374858611E-3</v>
      </c>
      <c r="V638" s="7" t="str" cm="1">
        <f t="array" ref="V638">_xlfn.IFS(HOUR(L637)&lt;12,"Morning",HOUR(L637)&lt;17,"Afternoon",HOUR(L637)&lt;21,"Evening",TRUE,"Night")</f>
        <v>Afternoon</v>
      </c>
    </row>
    <row r="639" spans="1:22" x14ac:dyDescent="0.3">
      <c r="A639" t="s">
        <v>729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  <c r="R639" s="5" t="str">
        <f t="shared" si="27"/>
        <v>Low Sale</v>
      </c>
      <c r="S639" s="7">
        <f t="shared" si="28"/>
        <v>4.7619047619047628</v>
      </c>
      <c r="T639" s="7" t="str" cm="1">
        <f t="array" ref="T639">_xlfn.IFS(Q638&gt;=8,"Excellent",Q638&gt;=6,"Good",Q638&gt;=4,"Average",TRUE,"Poor")</f>
        <v>Good</v>
      </c>
      <c r="U639" s="9">
        <f t="shared" si="29"/>
        <v>6.588371733586728E-4</v>
      </c>
      <c r="V639" s="7" t="str" cm="1">
        <f t="array" ref="V639">_xlfn.IFS(HOUR(L638)&lt;12,"Morning",HOUR(L638)&lt;17,"Afternoon",HOUR(L638)&lt;21,"Evening",TRUE,"Night")</f>
        <v>Evening</v>
      </c>
    </row>
    <row r="640" spans="1:22" x14ac:dyDescent="0.3">
      <c r="A640" t="s">
        <v>730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  <c r="R640" s="5" t="str">
        <f t="shared" si="27"/>
        <v>Low Sale</v>
      </c>
      <c r="S640" s="7">
        <f t="shared" si="28"/>
        <v>4.7619047619047628</v>
      </c>
      <c r="T640" s="7" t="str" cm="1">
        <f t="array" ref="T640">_xlfn.IFS(Q639&gt;=8,"Excellent",Q639&gt;=6,"Good",Q639&gt;=4,"Average",TRUE,"Poor")</f>
        <v>Good</v>
      </c>
      <c r="U640" s="9">
        <f t="shared" si="29"/>
        <v>1.5020122086933471E-4</v>
      </c>
      <c r="V640" s="7" t="str" cm="1">
        <f t="array" ref="V640">_xlfn.IFS(HOUR(L639)&lt;12,"Morning",HOUR(L639)&lt;17,"Afternoon",HOUR(L639)&lt;21,"Evening",TRUE,"Night")</f>
        <v>Afternoon</v>
      </c>
    </row>
    <row r="641" spans="1:22" x14ac:dyDescent="0.3">
      <c r="A641" t="s">
        <v>731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  <c r="R641" s="5" t="str">
        <f t="shared" si="27"/>
        <v>Low Sale</v>
      </c>
      <c r="S641" s="7">
        <f t="shared" si="28"/>
        <v>4.7619047619047619</v>
      </c>
      <c r="T641" s="7" t="str" cm="1">
        <f t="array" ref="T641">_xlfn.IFS(Q640&gt;=8,"Excellent",Q640&gt;=6,"Good",Q640&gt;=4,"Average",TRUE,"Poor")</f>
        <v>Excellent</v>
      </c>
      <c r="U641" s="9">
        <f t="shared" si="29"/>
        <v>2.8658522986216138E-4</v>
      </c>
      <c r="V641" s="7" t="str" cm="1">
        <f t="array" ref="V641">_xlfn.IFS(HOUR(L640)&lt;12,"Morning",HOUR(L640)&lt;17,"Afternoon",HOUR(L640)&lt;21,"Evening",TRUE,"Night")</f>
        <v>Afternoon</v>
      </c>
    </row>
    <row r="642" spans="1:22" x14ac:dyDescent="0.3">
      <c r="A642" t="s">
        <v>732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  <c r="R642" s="5" t="str">
        <f t="shared" si="27"/>
        <v>Low Sale</v>
      </c>
      <c r="S642" s="7">
        <f t="shared" si="28"/>
        <v>4.7619047619047628</v>
      </c>
      <c r="T642" s="7" t="str" cm="1">
        <f t="array" ref="T642">_xlfn.IFS(Q641&gt;=8,"Excellent",Q641&gt;=6,"Good",Q641&gt;=4,"Average",TRUE,"Poor")</f>
        <v>Good</v>
      </c>
      <c r="U642" s="9">
        <f t="shared" si="29"/>
        <v>5.1126935051756665E-4</v>
      </c>
      <c r="V642" s="7" t="str" cm="1">
        <f t="array" ref="V642">_xlfn.IFS(HOUR(L641)&lt;12,"Morning",HOUR(L641)&lt;17,"Afternoon",HOUR(L641)&lt;21,"Evening",TRUE,"Night")</f>
        <v>Evening</v>
      </c>
    </row>
    <row r="643" spans="1:22" x14ac:dyDescent="0.3">
      <c r="A643" t="s">
        <v>733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  <c r="R643" s="5" t="str">
        <f t="shared" si="27"/>
        <v>Low Sale</v>
      </c>
      <c r="S643" s="7">
        <f t="shared" si="28"/>
        <v>4.7619047619047628</v>
      </c>
      <c r="T643" s="7" t="str" cm="1">
        <f t="array" ref="T643">_xlfn.IFS(Q642&gt;=8,"Excellent",Q642&gt;=6,"Good",Q642&gt;=4,"Average",TRUE,"Poor")</f>
        <v>Good</v>
      </c>
      <c r="U643" s="9">
        <f t="shared" si="29"/>
        <v>9.6353107855075173E-4</v>
      </c>
      <c r="V643" s="7" t="str" cm="1">
        <f t="array" ref="V643">_xlfn.IFS(HOUR(L642)&lt;12,"Morning",HOUR(L642)&lt;17,"Afternoon",HOUR(L642)&lt;21,"Evening",TRUE,"Night")</f>
        <v>Evening</v>
      </c>
    </row>
    <row r="644" spans="1:22" x14ac:dyDescent="0.3">
      <c r="A644" t="s">
        <v>734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  <c r="R644" s="5" t="str">
        <f t="shared" ref="R644:R707" si="30">IF(J643&gt;=1000,"High Sale",IF(J643&gt;=500,"Medium Sale","Low Sale"))</f>
        <v>Medium Sale</v>
      </c>
      <c r="S644" s="7">
        <f t="shared" ref="S644:S707" si="31">(P643/J643)*100</f>
        <v>4.7619047619047619</v>
      </c>
      <c r="T644" s="7" t="str" cm="1">
        <f t="array" ref="T644">_xlfn.IFS(Q643&gt;=8,"Excellent",Q643&gt;=6,"Good",Q643&gt;=4,"Average",TRUE,"Poor")</f>
        <v>Average</v>
      </c>
      <c r="U644" s="9">
        <f t="shared" ref="U644:U707" si="32">J643/SUM($J$2:$J$1001)</f>
        <v>2.3030853866631328E-3</v>
      </c>
      <c r="V644" s="7" t="str" cm="1">
        <f t="array" ref="V644">_xlfn.IFS(HOUR(L643)&lt;12,"Morning",HOUR(L643)&lt;17,"Afternoon",HOUR(L643)&lt;21,"Evening",TRUE,"Night")</f>
        <v>Afternoon</v>
      </c>
    </row>
    <row r="645" spans="1:22" x14ac:dyDescent="0.3">
      <c r="A645" t="s">
        <v>735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  <c r="R645" s="5" t="str">
        <f t="shared" si="30"/>
        <v>Low Sale</v>
      </c>
      <c r="S645" s="7">
        <f t="shared" si="31"/>
        <v>4.7619047619047628</v>
      </c>
      <c r="T645" s="7" t="str" cm="1">
        <f t="array" ref="T645">_xlfn.IFS(Q644&gt;=8,"Excellent",Q644&gt;=6,"Good",Q644&gt;=4,"Average",TRUE,"Poor")</f>
        <v>Good</v>
      </c>
      <c r="U645" s="9">
        <f t="shared" si="32"/>
        <v>3.6197844007774301E-4</v>
      </c>
      <c r="V645" s="7" t="str" cm="1">
        <f t="array" ref="V645">_xlfn.IFS(HOUR(L644)&lt;12,"Morning",HOUR(L644)&lt;17,"Afternoon",HOUR(L644)&lt;21,"Evening",TRUE,"Night")</f>
        <v>Afternoon</v>
      </c>
    </row>
    <row r="646" spans="1:22" x14ac:dyDescent="0.3">
      <c r="A646" t="s">
        <v>736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  <c r="R646" s="5" t="str">
        <f t="shared" si="30"/>
        <v>Medium Sale</v>
      </c>
      <c r="S646" s="7">
        <f t="shared" si="31"/>
        <v>4.7619047619047619</v>
      </c>
      <c r="T646" s="7" t="str" cm="1">
        <f t="array" ref="T646">_xlfn.IFS(Q645&gt;=8,"Excellent",Q645&gt;=6,"Good",Q645&gt;=4,"Average",TRUE,"Poor")</f>
        <v>Average</v>
      </c>
      <c r="U646" s="9">
        <f t="shared" si="32"/>
        <v>1.8861632099470397E-3</v>
      </c>
      <c r="V646" s="7" t="str" cm="1">
        <f t="array" ref="V646">_xlfn.IFS(HOUR(L645)&lt;12,"Morning",HOUR(L645)&lt;17,"Afternoon",HOUR(L645)&lt;21,"Evening",TRUE,"Night")</f>
        <v>Evening</v>
      </c>
    </row>
    <row r="647" spans="1:22" x14ac:dyDescent="0.3">
      <c r="A647" t="s">
        <v>737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5" t="str">
        <f t="shared" si="30"/>
        <v>Low Sale</v>
      </c>
      <c r="S647" s="7">
        <f t="shared" si="31"/>
        <v>4.7619047619047619</v>
      </c>
      <c r="T647" s="7" t="str" cm="1">
        <f t="array" ref="T647">_xlfn.IFS(Q646&gt;=8,"Excellent",Q646&gt;=6,"Good",Q646&gt;=4,"Average",TRUE,"Poor")</f>
        <v>Average</v>
      </c>
      <c r="U647" s="9">
        <f t="shared" si="32"/>
        <v>1.9587929777873197E-4</v>
      </c>
      <c r="V647" s="7" t="str" cm="1">
        <f t="array" ref="V647">_xlfn.IFS(HOUR(L646)&lt;12,"Morning",HOUR(L646)&lt;17,"Afternoon",HOUR(L646)&lt;21,"Evening",TRUE,"Night")</f>
        <v>Afternoon</v>
      </c>
    </row>
    <row r="648" spans="1:22" x14ac:dyDescent="0.3">
      <c r="A648" t="s">
        <v>738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  <c r="R648" s="5" t="str">
        <f t="shared" si="30"/>
        <v>Low Sale</v>
      </c>
      <c r="S648" s="7">
        <f t="shared" si="31"/>
        <v>4.7619047619047619</v>
      </c>
      <c r="T648" s="7" t="str" cm="1">
        <f t="array" ref="T648">_xlfn.IFS(Q647&gt;=8,"Excellent",Q647&gt;=6,"Good",Q647&gt;=4,"Average",TRUE,"Poor")</f>
        <v>Excellent</v>
      </c>
      <c r="U648" s="9">
        <f t="shared" si="32"/>
        <v>5.6647317585006233E-4</v>
      </c>
      <c r="V648" s="7" t="str" cm="1">
        <f t="array" ref="V648">_xlfn.IFS(HOUR(L647)&lt;12,"Morning",HOUR(L647)&lt;17,"Afternoon",HOUR(L647)&lt;21,"Evening",TRUE,"Night")</f>
        <v>Evening</v>
      </c>
    </row>
    <row r="649" spans="1:22" x14ac:dyDescent="0.3">
      <c r="A649" t="s">
        <v>739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298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  <c r="R649" s="5" t="str">
        <f t="shared" si="30"/>
        <v>Low Sale</v>
      </c>
      <c r="S649" s="7">
        <f t="shared" si="31"/>
        <v>4.7619047619047619</v>
      </c>
      <c r="T649" s="7" t="str" cm="1">
        <f t="array" ref="T649">_xlfn.IFS(Q648&gt;=8,"Excellent",Q648&gt;=6,"Good",Q648&gt;=4,"Average",TRUE,"Poor")</f>
        <v>Good</v>
      </c>
      <c r="U649" s="9">
        <f t="shared" si="32"/>
        <v>1.3695620411994793E-3</v>
      </c>
      <c r="V649" s="7" t="str" cm="1">
        <f t="array" ref="V649">_xlfn.IFS(HOUR(L648)&lt;12,"Morning",HOUR(L648)&lt;17,"Afternoon",HOUR(L648)&lt;21,"Evening",TRUE,"Night")</f>
        <v>Afternoon</v>
      </c>
    </row>
    <row r="650" spans="1:22" x14ac:dyDescent="0.3">
      <c r="A650" t="s">
        <v>740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  <c r="R650" s="5" t="str">
        <f t="shared" si="30"/>
        <v>Low Sale</v>
      </c>
      <c r="S650" s="7">
        <f t="shared" si="31"/>
        <v>4.7619047619047619</v>
      </c>
      <c r="T650" s="7" t="str" cm="1">
        <f t="array" ref="T650">_xlfn.IFS(Q649&gt;=8,"Excellent",Q649&gt;=6,"Good",Q649&gt;=4,"Average",TRUE,"Poor")</f>
        <v>Average</v>
      </c>
      <c r="U650" s="9">
        <f t="shared" si="32"/>
        <v>1.0933478480163912E-4</v>
      </c>
      <c r="V650" s="7" t="str" cm="1">
        <f t="array" ref="V650">_xlfn.IFS(HOUR(L649)&lt;12,"Morning",HOUR(L649)&lt;17,"Afternoon",HOUR(L649)&lt;21,"Evening",TRUE,"Night")</f>
        <v>Evening</v>
      </c>
    </row>
    <row r="651" spans="1:22" x14ac:dyDescent="0.3">
      <c r="A651" t="s">
        <v>741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  <c r="R651" s="5" t="str">
        <f t="shared" si="30"/>
        <v>Low Sale</v>
      </c>
      <c r="S651" s="7">
        <f t="shared" si="31"/>
        <v>4.761904761904761</v>
      </c>
      <c r="T651" s="7" t="str" cm="1">
        <f t="array" ref="T651">_xlfn.IFS(Q650&gt;=8,"Excellent",Q650&gt;=6,"Good",Q650&gt;=4,"Average",TRUE,"Poor")</f>
        <v>Good</v>
      </c>
      <c r="U651" s="9">
        <f t="shared" si="32"/>
        <v>1.0071934680805174E-4</v>
      </c>
      <c r="V651" s="7" t="str" cm="1">
        <f t="array" ref="V651">_xlfn.IFS(HOUR(L650)&lt;12,"Morning",HOUR(L650)&lt;17,"Afternoon",HOUR(L650)&lt;21,"Evening",TRUE,"Night")</f>
        <v>Afternoon</v>
      </c>
    </row>
    <row r="652" spans="1:22" x14ac:dyDescent="0.3">
      <c r="A652" t="s">
        <v>742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  <c r="R652" s="5" t="str">
        <f t="shared" si="30"/>
        <v>Low Sale</v>
      </c>
      <c r="S652" s="7">
        <f t="shared" si="31"/>
        <v>4.7619047619047619</v>
      </c>
      <c r="T652" s="7" t="str" cm="1">
        <f t="array" ref="T652">_xlfn.IFS(Q651&gt;=8,"Excellent",Q651&gt;=6,"Good",Q651&gt;=4,"Average",TRUE,"Poor")</f>
        <v>Good</v>
      </c>
      <c r="U652" s="9">
        <f t="shared" si="32"/>
        <v>8.0432428664661056E-4</v>
      </c>
      <c r="V652" s="7" t="str" cm="1">
        <f t="array" ref="V652">_xlfn.IFS(HOUR(L651)&lt;12,"Morning",HOUR(L651)&lt;17,"Afternoon",HOUR(L651)&lt;21,"Evening",TRUE,"Night")</f>
        <v>Afternoon</v>
      </c>
    </row>
    <row r="653" spans="1:22" x14ac:dyDescent="0.3">
      <c r="A653" t="s">
        <v>743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  <c r="R653" s="5" t="str">
        <f t="shared" si="30"/>
        <v>Low Sale</v>
      </c>
      <c r="S653" s="7">
        <f t="shared" si="31"/>
        <v>4.7619047619047628</v>
      </c>
      <c r="T653" s="7" t="str" cm="1">
        <f t="array" ref="T653">_xlfn.IFS(Q652&gt;=8,"Excellent",Q652&gt;=6,"Good",Q652&gt;=4,"Average",TRUE,"Poor")</f>
        <v>Good</v>
      </c>
      <c r="U653" s="9">
        <f t="shared" si="32"/>
        <v>1.2298944124430589E-3</v>
      </c>
      <c r="V653" s="7" t="str" cm="1">
        <f t="array" ref="V653">_xlfn.IFS(HOUR(L652)&lt;12,"Morning",HOUR(L652)&lt;17,"Afternoon",HOUR(L652)&lt;21,"Evening",TRUE,"Night")</f>
        <v>Evening</v>
      </c>
    </row>
    <row r="654" spans="1:22" x14ac:dyDescent="0.3">
      <c r="A654" t="s">
        <v>744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  <c r="R654" s="5" t="str">
        <f t="shared" si="30"/>
        <v>Low Sale</v>
      </c>
      <c r="S654" s="7">
        <f t="shared" si="31"/>
        <v>4.7619047619047619</v>
      </c>
      <c r="T654" s="7" t="str" cm="1">
        <f t="array" ref="T654">_xlfn.IFS(Q653&gt;=8,"Excellent",Q653&gt;=6,"Good",Q653&gt;=4,"Average",TRUE,"Poor")</f>
        <v>Excellent</v>
      </c>
      <c r="U654" s="9">
        <f t="shared" si="32"/>
        <v>1.0886662515217625E-3</v>
      </c>
      <c r="V654" s="7" t="str" cm="1">
        <f t="array" ref="V654">_xlfn.IFS(HOUR(L653)&lt;12,"Morning",HOUR(L653)&lt;17,"Afternoon",HOUR(L653)&lt;21,"Evening",TRUE,"Night")</f>
        <v>Morning</v>
      </c>
    </row>
    <row r="655" spans="1:22" x14ac:dyDescent="0.3">
      <c r="A655" t="s">
        <v>745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  <c r="R655" s="5" t="str">
        <f t="shared" si="30"/>
        <v>Medium Sale</v>
      </c>
      <c r="S655" s="7">
        <f t="shared" si="31"/>
        <v>4.7619047619047619</v>
      </c>
      <c r="T655" s="7" t="str" cm="1">
        <f t="array" ref="T655">_xlfn.IFS(Q654&gt;=8,"Excellent",Q654&gt;=6,"Good",Q654&gt;=4,"Average",TRUE,"Poor")</f>
        <v>Good</v>
      </c>
      <c r="U655" s="9">
        <f t="shared" si="32"/>
        <v>2.3661568949935458E-3</v>
      </c>
      <c r="V655" s="7" t="str" cm="1">
        <f t="array" ref="V655">_xlfn.IFS(HOUR(L654)&lt;12,"Morning",HOUR(L654)&lt;17,"Afternoon",HOUR(L654)&lt;21,"Evening",TRUE,"Night")</f>
        <v>Evening</v>
      </c>
    </row>
    <row r="656" spans="1:22" x14ac:dyDescent="0.3">
      <c r="A656" t="s">
        <v>746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  <c r="R656" s="5" t="str">
        <f t="shared" si="30"/>
        <v>Low Sale</v>
      </c>
      <c r="S656" s="7">
        <f t="shared" si="31"/>
        <v>4.7619047619047628</v>
      </c>
      <c r="T656" s="7" t="str" cm="1">
        <f t="array" ref="T656">_xlfn.IFS(Q655&gt;=8,"Excellent",Q655&gt;=6,"Good",Q655&gt;=4,"Average",TRUE,"Poor")</f>
        <v>Average</v>
      </c>
      <c r="U656" s="9">
        <f t="shared" si="32"/>
        <v>1.0919823823721244E-3</v>
      </c>
      <c r="V656" s="7" t="str" cm="1">
        <f t="array" ref="V656">_xlfn.IFS(HOUR(L655)&lt;12,"Morning",HOUR(L655)&lt;17,"Afternoon",HOUR(L655)&lt;21,"Evening",TRUE,"Night")</f>
        <v>Afternoon</v>
      </c>
    </row>
    <row r="657" spans="1:22" x14ac:dyDescent="0.3">
      <c r="A657" t="s">
        <v>747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357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  <c r="R657" s="5" t="str">
        <f t="shared" si="30"/>
        <v>Low Sale</v>
      </c>
      <c r="S657" s="7">
        <f t="shared" si="31"/>
        <v>4.7619047619047619</v>
      </c>
      <c r="T657" s="7" t="str" cm="1">
        <f t="array" ref="T657">_xlfn.IFS(Q656&gt;=8,"Excellent",Q656&gt;=6,"Good",Q656&gt;=4,"Average",TRUE,"Poor")</f>
        <v>Excellent</v>
      </c>
      <c r="U657" s="9">
        <f t="shared" si="32"/>
        <v>7.8260688068541677E-4</v>
      </c>
      <c r="V657" s="7" t="str" cm="1">
        <f t="array" ref="V657">_xlfn.IFS(HOUR(L656)&lt;12,"Morning",HOUR(L656)&lt;17,"Afternoon",HOUR(L656)&lt;21,"Evening",TRUE,"Night")</f>
        <v>Evening</v>
      </c>
    </row>
    <row r="658" spans="1:22" x14ac:dyDescent="0.3">
      <c r="A658" t="s">
        <v>748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  <c r="R658" s="5" t="str">
        <f t="shared" si="30"/>
        <v>Low Sale</v>
      </c>
      <c r="S658" s="7">
        <f t="shared" si="31"/>
        <v>4.7619047619047628</v>
      </c>
      <c r="T658" s="7" t="str" cm="1">
        <f t="array" ref="T658">_xlfn.IFS(Q657&gt;=8,"Excellent",Q657&gt;=6,"Good",Q657&gt;=4,"Average",TRUE,"Poor")</f>
        <v>Average</v>
      </c>
      <c r="U658" s="9">
        <f t="shared" si="32"/>
        <v>1.5302968541817285E-4</v>
      </c>
      <c r="V658" s="7" t="str" cm="1">
        <f t="array" ref="V658">_xlfn.IFS(HOUR(L657)&lt;12,"Morning",HOUR(L657)&lt;17,"Afternoon",HOUR(L657)&lt;21,"Evening",TRUE,"Night")</f>
        <v>Afternoon</v>
      </c>
    </row>
    <row r="659" spans="1:22" x14ac:dyDescent="0.3">
      <c r="A659" t="s">
        <v>749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  <c r="R659" s="5" t="str">
        <f t="shared" si="30"/>
        <v>Low Sale</v>
      </c>
      <c r="S659" s="7">
        <f t="shared" si="31"/>
        <v>4.7619047619047619</v>
      </c>
      <c r="T659" s="7" t="str" cm="1">
        <f t="array" ref="T659">_xlfn.IFS(Q658&gt;=8,"Excellent",Q658&gt;=6,"Good",Q658&gt;=4,"Average",TRUE,"Poor")</f>
        <v>Excellent</v>
      </c>
      <c r="U659" s="9">
        <f t="shared" si="32"/>
        <v>3.2410302399272682E-4</v>
      </c>
      <c r="V659" s="7" t="str" cm="1">
        <f t="array" ref="V659">_xlfn.IFS(HOUR(L658)&lt;12,"Morning",HOUR(L658)&lt;17,"Afternoon",HOUR(L658)&lt;21,"Evening",TRUE,"Night")</f>
        <v>Morning</v>
      </c>
    </row>
    <row r="660" spans="1:22" x14ac:dyDescent="0.3">
      <c r="A660" t="s">
        <v>750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  <c r="R660" s="5" t="str">
        <f t="shared" si="30"/>
        <v>Low Sale</v>
      </c>
      <c r="S660" s="7">
        <f t="shared" si="31"/>
        <v>4.7619047619047619</v>
      </c>
      <c r="T660" s="7" t="str" cm="1">
        <f t="array" ref="T660">_xlfn.IFS(Q659&gt;=8,"Excellent",Q659&gt;=6,"Good",Q659&gt;=4,"Average",TRUE,"Poor")</f>
        <v>Good</v>
      </c>
      <c r="U660" s="9">
        <f t="shared" si="32"/>
        <v>8.5975568958648419E-4</v>
      </c>
      <c r="V660" s="7" t="str" cm="1">
        <f t="array" ref="V660">_xlfn.IFS(HOUR(L659)&lt;12,"Morning",HOUR(L659)&lt;17,"Afternoon",HOUR(L659)&lt;21,"Evening",TRUE,"Night")</f>
        <v>Morning</v>
      </c>
    </row>
    <row r="661" spans="1:22" x14ac:dyDescent="0.3">
      <c r="A661" t="s">
        <v>751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317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  <c r="R661" s="5" t="str">
        <f t="shared" si="30"/>
        <v>Low Sale</v>
      </c>
      <c r="S661" s="7">
        <f t="shared" si="31"/>
        <v>4.7619047619047628</v>
      </c>
      <c r="T661" s="7" t="str" cm="1">
        <f t="array" ref="T661">_xlfn.IFS(Q660&gt;=8,"Excellent",Q660&gt;=6,"Good",Q660&gt;=4,"Average",TRUE,"Poor")</f>
        <v>Average</v>
      </c>
      <c r="U661" s="9">
        <f t="shared" si="32"/>
        <v>4.5401732671867086E-4</v>
      </c>
      <c r="V661" s="7" t="str" cm="1">
        <f t="array" ref="V661">_xlfn.IFS(HOUR(L660)&lt;12,"Morning",HOUR(L660)&lt;17,"Afternoon",HOUR(L660)&lt;21,"Evening",TRUE,"Night")</f>
        <v>Afternoon</v>
      </c>
    </row>
    <row r="662" spans="1:22" x14ac:dyDescent="0.3">
      <c r="A662" t="s">
        <v>752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  <c r="R662" s="5" t="str">
        <f t="shared" si="30"/>
        <v>Low Sale</v>
      </c>
      <c r="S662" s="7">
        <f t="shared" si="31"/>
        <v>4.7619047619047628</v>
      </c>
      <c r="T662" s="7" t="str" cm="1">
        <f t="array" ref="T662">_xlfn.IFS(Q661&gt;=8,"Excellent",Q661&gt;=6,"Good",Q661&gt;=4,"Average",TRUE,"Poor")</f>
        <v>Average</v>
      </c>
      <c r="U662" s="9">
        <f t="shared" si="32"/>
        <v>1.802739761299699E-4</v>
      </c>
      <c r="V662" s="7" t="str" cm="1">
        <f t="array" ref="V662">_xlfn.IFS(HOUR(L661)&lt;12,"Morning",HOUR(L661)&lt;17,"Afternoon",HOUR(L661)&lt;21,"Evening",TRUE,"Night")</f>
        <v>Evening</v>
      </c>
    </row>
    <row r="663" spans="1:22" x14ac:dyDescent="0.3">
      <c r="A663" t="s">
        <v>753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  <c r="R663" s="5" t="str">
        <f t="shared" si="30"/>
        <v>Low Sale</v>
      </c>
      <c r="S663" s="7">
        <f t="shared" si="31"/>
        <v>4.7619047619047619</v>
      </c>
      <c r="T663" s="7" t="str" cm="1">
        <f t="array" ref="T663">_xlfn.IFS(Q662&gt;=8,"Excellent",Q662&gt;=6,"Good",Q662&gt;=4,"Average",TRUE,"Poor")</f>
        <v>Excellent</v>
      </c>
      <c r="U663" s="9">
        <f t="shared" si="32"/>
        <v>4.1910041952956581E-4</v>
      </c>
      <c r="V663" s="7" t="str" cm="1">
        <f t="array" ref="V663">_xlfn.IFS(HOUR(L662)&lt;12,"Morning",HOUR(L662)&lt;17,"Afternoon",HOUR(L662)&lt;21,"Evening",TRUE,"Night")</f>
        <v>Morning</v>
      </c>
    </row>
    <row r="664" spans="1:22" x14ac:dyDescent="0.3">
      <c r="A664" t="s">
        <v>754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  <c r="R664" s="5" t="str">
        <f t="shared" si="30"/>
        <v>Low Sale</v>
      </c>
      <c r="S664" s="7">
        <f t="shared" si="31"/>
        <v>4.7619047619047619</v>
      </c>
      <c r="T664" s="7" t="str" cm="1">
        <f t="array" ref="T664">_xlfn.IFS(Q663&gt;=8,"Excellent",Q663&gt;=6,"Good",Q663&gt;=4,"Average",TRUE,"Poor")</f>
        <v>Good</v>
      </c>
      <c r="U664" s="9">
        <f t="shared" si="32"/>
        <v>3.9006801904551471E-4</v>
      </c>
      <c r="V664" s="7" t="str" cm="1">
        <f t="array" ref="V664">_xlfn.IFS(HOUR(L663)&lt;12,"Morning",HOUR(L663)&lt;17,"Afternoon",HOUR(L663)&lt;21,"Evening",TRUE,"Night")</f>
        <v>Afternoon</v>
      </c>
    </row>
    <row r="665" spans="1:22" x14ac:dyDescent="0.3">
      <c r="A665" t="s">
        <v>755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  <c r="R665" s="5" t="str">
        <f t="shared" si="30"/>
        <v>Low Sale</v>
      </c>
      <c r="S665" s="7">
        <f t="shared" si="31"/>
        <v>4.7619047619047619</v>
      </c>
      <c r="T665" s="7" t="str" cm="1">
        <f t="array" ref="T665">_xlfn.IFS(Q664&gt;=8,"Excellent",Q664&gt;=6,"Good",Q664&gt;=4,"Average",TRUE,"Poor")</f>
        <v>Average</v>
      </c>
      <c r="U665" s="9">
        <f t="shared" si="32"/>
        <v>1.146015808580963E-3</v>
      </c>
      <c r="V665" s="7" t="str" cm="1">
        <f t="array" ref="V665">_xlfn.IFS(HOUR(L664)&lt;12,"Morning",HOUR(L664)&lt;17,"Afternoon",HOUR(L664)&lt;21,"Evening",TRUE,"Night")</f>
        <v>Evening</v>
      </c>
    </row>
    <row r="666" spans="1:22" x14ac:dyDescent="0.3">
      <c r="A666" t="s">
        <v>756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304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  <c r="R666" s="5" t="str">
        <f t="shared" si="30"/>
        <v>Medium Sale</v>
      </c>
      <c r="S666" s="7">
        <f t="shared" si="31"/>
        <v>4.7619047619047619</v>
      </c>
      <c r="T666" s="7" t="str" cm="1">
        <f t="array" ref="T666">_xlfn.IFS(Q665&gt;=8,"Excellent",Q665&gt;=6,"Good",Q665&gt;=4,"Average",TRUE,"Poor")</f>
        <v>Excellent</v>
      </c>
      <c r="U666" s="9">
        <f t="shared" si="32"/>
        <v>2.8317156575149468E-3</v>
      </c>
      <c r="V666" s="7" t="str" cm="1">
        <f t="array" ref="V666">_xlfn.IFS(HOUR(L665)&lt;12,"Morning",HOUR(L665)&lt;17,"Afternoon",HOUR(L665)&lt;21,"Evening",TRUE,"Night")</f>
        <v>Afternoon</v>
      </c>
    </row>
    <row r="667" spans="1:22" x14ac:dyDescent="0.3">
      <c r="A667" t="s">
        <v>757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  <c r="R667" s="5" t="str">
        <f t="shared" si="30"/>
        <v>Low Sale</v>
      </c>
      <c r="S667" s="7">
        <f t="shared" si="31"/>
        <v>4.7619047619047628</v>
      </c>
      <c r="T667" s="7" t="str" cm="1">
        <f t="array" ref="T667">_xlfn.IFS(Q666&gt;=8,"Excellent",Q666&gt;=6,"Good",Q666&gt;=4,"Average",TRUE,"Poor")</f>
        <v>Good</v>
      </c>
      <c r="U667" s="9">
        <f t="shared" si="32"/>
        <v>6.4241907454070431E-4</v>
      </c>
      <c r="V667" s="7" t="str" cm="1">
        <f t="array" ref="V667">_xlfn.IFS(HOUR(L666)&lt;12,"Morning",HOUR(L666)&lt;17,"Afternoon",HOUR(L666)&lt;21,"Evening",TRUE,"Night")</f>
        <v>Morning</v>
      </c>
    </row>
    <row r="668" spans="1:22" x14ac:dyDescent="0.3">
      <c r="A668" t="s">
        <v>758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  <c r="R668" s="5" t="str">
        <f t="shared" si="30"/>
        <v>Low Sale</v>
      </c>
      <c r="S668" s="7">
        <f t="shared" si="31"/>
        <v>4.7619047619047628</v>
      </c>
      <c r="T668" s="7" t="str" cm="1">
        <f t="array" ref="T668">_xlfn.IFS(Q667&gt;=8,"Excellent",Q667&gt;=6,"Good",Q667&gt;=4,"Average",TRUE,"Poor")</f>
        <v>Good</v>
      </c>
      <c r="U668" s="9">
        <f t="shared" si="32"/>
        <v>6.3240565981608203E-4</v>
      </c>
      <c r="V668" s="7" t="str" cm="1">
        <f t="array" ref="V668">_xlfn.IFS(HOUR(L667)&lt;12,"Morning",HOUR(L667)&lt;17,"Afternoon",HOUR(L667)&lt;21,"Evening",TRUE,"Night")</f>
        <v>Afternoon</v>
      </c>
    </row>
    <row r="669" spans="1:22" x14ac:dyDescent="0.3">
      <c r="A669" t="s">
        <v>759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  <c r="R669" s="5" t="str">
        <f t="shared" si="30"/>
        <v>Low Sale</v>
      </c>
      <c r="S669" s="7">
        <f t="shared" si="31"/>
        <v>4.7619047619047619</v>
      </c>
      <c r="T669" s="7" t="str" cm="1">
        <f t="array" ref="T669">_xlfn.IFS(Q668&gt;=8,"Excellent",Q668&gt;=6,"Good",Q668&gt;=4,"Average",TRUE,"Poor")</f>
        <v>Good</v>
      </c>
      <c r="U669" s="9">
        <f t="shared" si="32"/>
        <v>5.6315704499970047E-4</v>
      </c>
      <c r="V669" s="7" t="str" cm="1">
        <f t="array" ref="V669">_xlfn.IFS(HOUR(L668)&lt;12,"Morning",HOUR(L668)&lt;17,"Afternoon",HOUR(L668)&lt;21,"Evening",TRUE,"Night")</f>
        <v>Afternoon</v>
      </c>
    </row>
    <row r="670" spans="1:22" x14ac:dyDescent="0.3">
      <c r="A670" t="s">
        <v>760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5" t="str">
        <f t="shared" si="30"/>
        <v>Low Sale</v>
      </c>
      <c r="S670" s="7">
        <f t="shared" si="31"/>
        <v>4.7619047619047619</v>
      </c>
      <c r="T670" s="7" t="str" cm="1">
        <f t="array" ref="T670">_xlfn.IFS(Q669&gt;=8,"Excellent",Q669&gt;=6,"Good",Q669&gt;=4,"Average",TRUE,"Poor")</f>
        <v>Good</v>
      </c>
      <c r="U670" s="9">
        <f t="shared" si="32"/>
        <v>2.336896916902117E-4</v>
      </c>
      <c r="V670" s="7" t="str" cm="1">
        <f t="array" ref="V670">_xlfn.IFS(HOUR(L669)&lt;12,"Morning",HOUR(L669)&lt;17,"Afternoon",HOUR(L669)&lt;21,"Evening",TRUE,"Night")</f>
        <v>Evening</v>
      </c>
    </row>
    <row r="671" spans="1:22" x14ac:dyDescent="0.3">
      <c r="A671" t="s">
        <v>761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5" t="str">
        <f t="shared" si="30"/>
        <v>Low Sale</v>
      </c>
      <c r="S671" s="7">
        <f t="shared" si="31"/>
        <v>4.7619047619047628</v>
      </c>
      <c r="T671" s="7" t="str" cm="1">
        <f t="array" ref="T671">_xlfn.IFS(Q670&gt;=8,"Excellent",Q670&gt;=6,"Good",Q670&gt;=4,"Average",TRUE,"Poor")</f>
        <v>Average</v>
      </c>
      <c r="U671" s="9">
        <f t="shared" si="32"/>
        <v>9.3066236982804662E-4</v>
      </c>
      <c r="V671" s="7" t="str" cm="1">
        <f t="array" ref="V671">_xlfn.IFS(HOUR(L670)&lt;12,"Morning",HOUR(L670)&lt;17,"Afternoon",HOUR(L670)&lt;21,"Evening",TRUE,"Night")</f>
        <v>Afternoon</v>
      </c>
    </row>
    <row r="672" spans="1:22" x14ac:dyDescent="0.3">
      <c r="A672" t="s">
        <v>762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286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  <c r="R672" s="5" t="str">
        <f t="shared" si="30"/>
        <v>Low Sale</v>
      </c>
      <c r="S672" s="7">
        <f t="shared" si="31"/>
        <v>4.7619047619047619</v>
      </c>
      <c r="T672" s="7" t="str" cm="1">
        <f t="array" ref="T672">_xlfn.IFS(Q671&gt;=8,"Excellent",Q671&gt;=6,"Good",Q671&gt;=4,"Average",TRUE,"Poor")</f>
        <v>Average</v>
      </c>
      <c r="U672" s="9">
        <f t="shared" si="32"/>
        <v>2.6412006890529771E-4</v>
      </c>
      <c r="V672" s="7" t="str" cm="1">
        <f t="array" ref="V672">_xlfn.IFS(HOUR(L671)&lt;12,"Morning",HOUR(L671)&lt;17,"Afternoon",HOUR(L671)&lt;21,"Evening",TRUE,"Night")</f>
        <v>Morning</v>
      </c>
    </row>
    <row r="673" spans="1:22" x14ac:dyDescent="0.3">
      <c r="A673" t="s">
        <v>763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  <c r="R673" s="5" t="str">
        <f t="shared" si="30"/>
        <v>Medium Sale</v>
      </c>
      <c r="S673" s="7">
        <f t="shared" si="31"/>
        <v>4.7619047619047628</v>
      </c>
      <c r="T673" s="7" t="str" cm="1">
        <f t="array" ref="T673">_xlfn.IFS(Q672&gt;=8,"Excellent",Q672&gt;=6,"Good",Q672&gt;=4,"Average",TRUE,"Poor")</f>
        <v>Average</v>
      </c>
      <c r="U673" s="9">
        <f t="shared" si="32"/>
        <v>1.821921302492969E-3</v>
      </c>
      <c r="V673" s="7" t="str" cm="1">
        <f t="array" ref="V673">_xlfn.IFS(HOUR(L672)&lt;12,"Morning",HOUR(L672)&lt;17,"Afternoon",HOUR(L672)&lt;21,"Evening",TRUE,"Night")</f>
        <v>Evening</v>
      </c>
    </row>
    <row r="674" spans="1:22" x14ac:dyDescent="0.3">
      <c r="A674" t="s">
        <v>764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  <c r="R674" s="5" t="str">
        <f t="shared" si="30"/>
        <v>Low Sale</v>
      </c>
      <c r="S674" s="7">
        <f t="shared" si="31"/>
        <v>4.7619047619047628</v>
      </c>
      <c r="T674" s="7" t="str" cm="1">
        <f t="array" ref="T674">_xlfn.IFS(Q673&gt;=8,"Excellent",Q673&gt;=6,"Good",Q673&gt;=4,"Average",TRUE,"Poor")</f>
        <v>Average</v>
      </c>
      <c r="U674" s="9">
        <f t="shared" si="32"/>
        <v>6.0730710083098968E-4</v>
      </c>
      <c r="V674" s="7" t="str" cm="1">
        <f t="array" ref="V674">_xlfn.IFS(HOUR(L673)&lt;12,"Morning",HOUR(L673)&lt;17,"Afternoon",HOUR(L673)&lt;21,"Evening",TRUE,"Night")</f>
        <v>Afternoon</v>
      </c>
    </row>
    <row r="675" spans="1:22" x14ac:dyDescent="0.3">
      <c r="A675" t="s">
        <v>765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  <c r="R675" s="5" t="str">
        <f t="shared" si="30"/>
        <v>Low Sale</v>
      </c>
      <c r="S675" s="7">
        <f t="shared" si="31"/>
        <v>4.7619047619047619</v>
      </c>
      <c r="T675" s="7" t="str" cm="1">
        <f t="array" ref="T675">_xlfn.IFS(Q674&gt;=8,"Excellent",Q674&gt;=6,"Good",Q674&gt;=4,"Average",TRUE,"Poor")</f>
        <v>Average</v>
      </c>
      <c r="U675" s="9">
        <f t="shared" si="32"/>
        <v>7.1599166389726379E-4</v>
      </c>
      <c r="V675" s="7" t="str" cm="1">
        <f t="array" ref="V675">_xlfn.IFS(HOUR(L674)&lt;12,"Morning",HOUR(L674)&lt;17,"Afternoon",HOUR(L674)&lt;21,"Evening",TRUE,"Night")</f>
        <v>Afternoon</v>
      </c>
    </row>
    <row r="676" spans="1:22" x14ac:dyDescent="0.3">
      <c r="A676" t="s">
        <v>766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  <c r="R676" s="5" t="str">
        <f t="shared" si="30"/>
        <v>Low Sale</v>
      </c>
      <c r="S676" s="7">
        <f t="shared" si="31"/>
        <v>4.7619047619047619</v>
      </c>
      <c r="T676" s="7" t="str" cm="1">
        <f t="array" ref="T676">_xlfn.IFS(Q675&gt;=8,"Excellent",Q675&gt;=6,"Good",Q675&gt;=4,"Average",TRUE,"Poor")</f>
        <v>Excellent</v>
      </c>
      <c r="U676" s="9">
        <f t="shared" si="32"/>
        <v>8.74938367107259E-4</v>
      </c>
      <c r="V676" s="7" t="str" cm="1">
        <f t="array" ref="V676">_xlfn.IFS(HOUR(L675)&lt;12,"Morning",HOUR(L675)&lt;17,"Afternoon",HOUR(L675)&lt;21,"Evening",TRUE,"Night")</f>
        <v>Evening</v>
      </c>
    </row>
    <row r="677" spans="1:22" x14ac:dyDescent="0.3">
      <c r="A677" t="s">
        <v>767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5" t="str">
        <f t="shared" si="30"/>
        <v>Low Sale</v>
      </c>
      <c r="S677" s="7">
        <f t="shared" si="31"/>
        <v>4.7619047619047619</v>
      </c>
      <c r="T677" s="7" t="str" cm="1">
        <f t="array" ref="T677">_xlfn.IFS(Q676&gt;=8,"Excellent",Q676&gt;=6,"Good",Q676&gt;=4,"Average",TRUE,"Poor")</f>
        <v>Average</v>
      </c>
      <c r="U677" s="9">
        <f t="shared" si="32"/>
        <v>1.4786042262202041E-3</v>
      </c>
      <c r="V677" s="7" t="str" cm="1">
        <f t="array" ref="V677">_xlfn.IFS(HOUR(L676)&lt;12,"Morning",HOUR(L676)&lt;17,"Afternoon",HOUR(L676)&lt;21,"Evening",TRUE,"Night")</f>
        <v>Morning</v>
      </c>
    </row>
    <row r="678" spans="1:22" x14ac:dyDescent="0.3">
      <c r="A678" t="s">
        <v>768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456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  <c r="R678" s="5" t="str">
        <f t="shared" si="30"/>
        <v>Low Sale</v>
      </c>
      <c r="S678" s="7">
        <f t="shared" si="31"/>
        <v>4.7619047619047628</v>
      </c>
      <c r="T678" s="7" t="str" cm="1">
        <f t="array" ref="T678">_xlfn.IFS(Q677&gt;=8,"Excellent",Q677&gt;=6,"Good",Q677&gt;=4,"Average",TRUE,"Poor")</f>
        <v>Average</v>
      </c>
      <c r="U678" s="9">
        <f t="shared" si="32"/>
        <v>5.4469074771533205E-4</v>
      </c>
      <c r="V678" s="7" t="str" cm="1">
        <f t="array" ref="V678">_xlfn.IFS(HOUR(L677)&lt;12,"Morning",HOUR(L677)&lt;17,"Afternoon",HOUR(L677)&lt;21,"Evening",TRUE,"Night")</f>
        <v>Evening</v>
      </c>
    </row>
    <row r="679" spans="1:22" x14ac:dyDescent="0.3">
      <c r="A679" t="s">
        <v>769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  <c r="R679" s="5" t="str">
        <f t="shared" si="30"/>
        <v>Low Sale</v>
      </c>
      <c r="S679" s="7">
        <f t="shared" si="31"/>
        <v>4.7619047619047628</v>
      </c>
      <c r="T679" s="7" t="str" cm="1">
        <f t="array" ref="T679">_xlfn.IFS(Q678&gt;=8,"Excellent",Q678&gt;=6,"Good",Q678&gt;=4,"Average",TRUE,"Poor")</f>
        <v>Good</v>
      </c>
      <c r="U679" s="9">
        <f t="shared" si="32"/>
        <v>1.4583173080768134E-3</v>
      </c>
      <c r="V679" s="7" t="str" cm="1">
        <f t="array" ref="V679">_xlfn.IFS(HOUR(L678)&lt;12,"Morning",HOUR(L678)&lt;17,"Afternoon",HOUR(L678)&lt;21,"Evening",TRUE,"Night")</f>
        <v>Evening</v>
      </c>
    </row>
    <row r="680" spans="1:22" x14ac:dyDescent="0.3">
      <c r="A680" t="s">
        <v>770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  <c r="R680" s="5" t="str">
        <f t="shared" si="30"/>
        <v>Low Sale</v>
      </c>
      <c r="S680" s="7">
        <f t="shared" si="31"/>
        <v>4.7619047619047619</v>
      </c>
      <c r="T680" s="7" t="str" cm="1">
        <f t="array" ref="T680">_xlfn.IFS(Q679&gt;=8,"Excellent",Q679&gt;=6,"Good",Q679&gt;=4,"Average",TRUE,"Poor")</f>
        <v>Good</v>
      </c>
      <c r="U680" s="9">
        <f t="shared" si="32"/>
        <v>9.5543581794545651E-4</v>
      </c>
      <c r="V680" s="7" t="str" cm="1">
        <f t="array" ref="V680">_xlfn.IFS(HOUR(L679)&lt;12,"Morning",HOUR(L679)&lt;17,"Afternoon",HOUR(L679)&lt;21,"Evening",TRUE,"Night")</f>
        <v>Evening</v>
      </c>
    </row>
    <row r="681" spans="1:22" x14ac:dyDescent="0.3">
      <c r="A681" t="s">
        <v>771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  <c r="R681" s="5" t="str">
        <f t="shared" si="30"/>
        <v>Medium Sale</v>
      </c>
      <c r="S681" s="7">
        <f t="shared" si="31"/>
        <v>4.7619047619047619</v>
      </c>
      <c r="T681" s="7" t="str" cm="1">
        <f t="array" ref="T681">_xlfn.IFS(Q680&gt;=8,"Excellent",Q680&gt;=6,"Good",Q680&gt;=4,"Average",TRUE,"Poor")</f>
        <v>Excellent</v>
      </c>
      <c r="U681" s="9">
        <f t="shared" si="32"/>
        <v>1.9165285649885891E-3</v>
      </c>
      <c r="V681" s="7" t="str" cm="1">
        <f t="array" ref="V681">_xlfn.IFS(HOUR(L680)&lt;12,"Morning",HOUR(L680)&lt;17,"Afternoon",HOUR(L680)&lt;21,"Evening",TRUE,"Night")</f>
        <v>Afternoon</v>
      </c>
    </row>
    <row r="682" spans="1:22" x14ac:dyDescent="0.3">
      <c r="A682" t="s">
        <v>772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  <c r="R682" s="5" t="str">
        <f t="shared" si="30"/>
        <v>Low Sale</v>
      </c>
      <c r="S682" s="7">
        <f t="shared" si="31"/>
        <v>4.7619047619047619</v>
      </c>
      <c r="T682" s="7" t="str" cm="1">
        <f t="array" ref="T682">_xlfn.IFS(Q681&gt;=8,"Excellent",Q681&gt;=6,"Good",Q681&gt;=4,"Average",TRUE,"Poor")</f>
        <v>Excellent</v>
      </c>
      <c r="U682" s="9">
        <f t="shared" si="32"/>
        <v>9.4607262495619926E-4</v>
      </c>
      <c r="V682" s="7" t="str" cm="1">
        <f t="array" ref="V682">_xlfn.IFS(HOUR(L681)&lt;12,"Morning",HOUR(L681)&lt;17,"Afternoon",HOUR(L681)&lt;21,"Evening",TRUE,"Night")</f>
        <v>Afternoon</v>
      </c>
    </row>
    <row r="683" spans="1:22" x14ac:dyDescent="0.3">
      <c r="A683" t="s">
        <v>773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286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  <c r="R683" s="5" t="str">
        <f t="shared" si="30"/>
        <v>Low Sale</v>
      </c>
      <c r="S683" s="7">
        <f t="shared" si="31"/>
        <v>4.7619047619047619</v>
      </c>
      <c r="T683" s="7" t="str" cm="1">
        <f t="array" ref="T683">_xlfn.IFS(Q682&gt;=8,"Excellent",Q682&gt;=6,"Good",Q682&gt;=4,"Average",TRUE,"Poor")</f>
        <v>Good</v>
      </c>
      <c r="U683" s="9">
        <f t="shared" si="32"/>
        <v>1.2835377056106786E-4</v>
      </c>
      <c r="V683" s="7" t="str" cm="1">
        <f t="array" ref="V683">_xlfn.IFS(HOUR(L682)&lt;12,"Morning",HOUR(L682)&lt;17,"Afternoon",HOUR(L682)&lt;21,"Evening",TRUE,"Night")</f>
        <v>Evening</v>
      </c>
    </row>
    <row r="684" spans="1:22" x14ac:dyDescent="0.3">
      <c r="A684" t="s">
        <v>774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  <c r="R684" s="5" t="str">
        <f t="shared" si="30"/>
        <v>Low Sale</v>
      </c>
      <c r="S684" s="7">
        <f t="shared" si="31"/>
        <v>4.7619047619047619</v>
      </c>
      <c r="T684" s="7" t="str" cm="1">
        <f t="array" ref="T684">_xlfn.IFS(Q683&gt;=8,"Excellent",Q683&gt;=6,"Good",Q683&gt;=4,"Average",TRUE,"Poor")</f>
        <v>Good</v>
      </c>
      <c r="U684" s="9">
        <f t="shared" si="32"/>
        <v>1.1317109304029311E-4</v>
      </c>
      <c r="V684" s="7" t="str" cm="1">
        <f t="array" ref="V684">_xlfn.IFS(HOUR(L683)&lt;12,"Morning",HOUR(L683)&lt;17,"Afternoon",HOUR(L683)&lt;21,"Evening",TRUE,"Night")</f>
        <v>Morning</v>
      </c>
    </row>
    <row r="685" spans="1:22" x14ac:dyDescent="0.3">
      <c r="A685" t="s">
        <v>775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  <c r="R685" s="5" t="str">
        <f t="shared" si="30"/>
        <v>Low Sale</v>
      </c>
      <c r="S685" s="7">
        <f t="shared" si="31"/>
        <v>4.7619047619047619</v>
      </c>
      <c r="T685" s="7" t="str" cm="1">
        <f t="array" ref="T685">_xlfn.IFS(Q684&gt;=8,"Excellent",Q684&gt;=6,"Good",Q684&gt;=4,"Average",TRUE,"Poor")</f>
        <v>Good</v>
      </c>
      <c r="U685" s="9">
        <f t="shared" si="32"/>
        <v>9.6206807964618034E-4</v>
      </c>
      <c r="V685" s="7" t="str" cm="1">
        <f t="array" ref="V685">_xlfn.IFS(HOUR(L684)&lt;12,"Morning",HOUR(L684)&lt;17,"Afternoon",HOUR(L684)&lt;21,"Evening",TRUE,"Night")</f>
        <v>Afternoon</v>
      </c>
    </row>
    <row r="686" spans="1:22" x14ac:dyDescent="0.3">
      <c r="A686" t="s">
        <v>776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5" t="str">
        <f t="shared" si="30"/>
        <v>Low Sale</v>
      </c>
      <c r="S686" s="7">
        <f t="shared" si="31"/>
        <v>4.7619047619047628</v>
      </c>
      <c r="T686" s="7" t="str" cm="1">
        <f t="array" ref="T686">_xlfn.IFS(Q685&gt;=8,"Excellent",Q685&gt;=6,"Good",Q685&gt;=4,"Average",TRUE,"Poor")</f>
        <v>Good</v>
      </c>
      <c r="U686" s="9">
        <f t="shared" si="32"/>
        <v>1.3966762875642033E-4</v>
      </c>
      <c r="V686" s="7" t="str" cm="1">
        <f t="array" ref="V686">_xlfn.IFS(HOUR(L685)&lt;12,"Morning",HOUR(L685)&lt;17,"Afternoon",HOUR(L685)&lt;21,"Evening",TRUE,"Night")</f>
        <v>Afternoon</v>
      </c>
    </row>
    <row r="687" spans="1:22" x14ac:dyDescent="0.3">
      <c r="A687" t="s">
        <v>777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  <c r="R687" s="5" t="str">
        <f t="shared" si="30"/>
        <v>Low Sale</v>
      </c>
      <c r="S687" s="7">
        <f t="shared" si="31"/>
        <v>4.7619047619047628</v>
      </c>
      <c r="T687" s="7" t="str" cm="1">
        <f t="array" ref="T687">_xlfn.IFS(Q686&gt;=8,"Excellent",Q686&gt;=6,"Good",Q686&gt;=4,"Average",TRUE,"Poor")</f>
        <v>Average</v>
      </c>
      <c r="U687" s="9">
        <f t="shared" si="32"/>
        <v>4.502135295667851E-4</v>
      </c>
      <c r="V687" s="7" t="str" cm="1">
        <f t="array" ref="V687">_xlfn.IFS(HOUR(L686)&lt;12,"Morning",HOUR(L686)&lt;17,"Afternoon",HOUR(L686)&lt;21,"Evening",TRUE,"Night")</f>
        <v>Evening</v>
      </c>
    </row>
    <row r="688" spans="1:22" x14ac:dyDescent="0.3">
      <c r="A688" t="s">
        <v>778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  <c r="R688" s="5" t="str">
        <f t="shared" si="30"/>
        <v>Low Sale</v>
      </c>
      <c r="S688" s="7">
        <f t="shared" si="31"/>
        <v>4.7619047619047628</v>
      </c>
      <c r="T688" s="7" t="str" cm="1">
        <f t="array" ref="T688">_xlfn.IFS(Q687&gt;=8,"Excellent",Q687&gt;=6,"Good",Q687&gt;=4,"Average",TRUE,"Poor")</f>
        <v>Good</v>
      </c>
      <c r="U688" s="9">
        <f t="shared" si="32"/>
        <v>3.1925887206425691E-4</v>
      </c>
      <c r="V688" s="7" t="str" cm="1">
        <f t="array" ref="V688">_xlfn.IFS(HOUR(L687)&lt;12,"Morning",HOUR(L687)&lt;17,"Afternoon",HOUR(L687)&lt;21,"Evening",TRUE,"Night")</f>
        <v>Afternoon</v>
      </c>
    </row>
    <row r="689" spans="1:22" x14ac:dyDescent="0.3">
      <c r="A689" t="s">
        <v>779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  <c r="R689" s="5" t="str">
        <f t="shared" si="30"/>
        <v>Low Sale</v>
      </c>
      <c r="S689" s="7">
        <f t="shared" si="31"/>
        <v>4.7619047619047619</v>
      </c>
      <c r="T689" s="7" t="str" cm="1">
        <f t="array" ref="T689">_xlfn.IFS(Q688&gt;=8,"Excellent",Q688&gt;=6,"Good",Q688&gt;=4,"Average",TRUE,"Poor")</f>
        <v>Excellent</v>
      </c>
      <c r="U689" s="9">
        <f t="shared" si="32"/>
        <v>4.2153875103718486E-4</v>
      </c>
      <c r="V689" s="7" t="str" cm="1">
        <f t="array" ref="V689">_xlfn.IFS(HOUR(L688)&lt;12,"Morning",HOUR(L688)&lt;17,"Afternoon",HOUR(L688)&lt;21,"Evening",TRUE,"Night")</f>
        <v>Morning</v>
      </c>
    </row>
    <row r="690" spans="1:22" x14ac:dyDescent="0.3">
      <c r="A690" t="s">
        <v>780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  <c r="R690" s="5" t="str">
        <f t="shared" si="30"/>
        <v>Medium Sale</v>
      </c>
      <c r="S690" s="7">
        <f t="shared" si="31"/>
        <v>4.7619047619047628</v>
      </c>
      <c r="T690" s="7" t="str" cm="1">
        <f t="array" ref="T690">_xlfn.IFS(Q689&gt;=8,"Excellent",Q689&gt;=6,"Good",Q689&gt;=4,"Average",TRUE,"Poor")</f>
        <v>Average</v>
      </c>
      <c r="U690" s="9">
        <f t="shared" si="32"/>
        <v>2.0664046749902412E-3</v>
      </c>
      <c r="V690" s="7" t="str" cm="1">
        <f t="array" ref="V690">_xlfn.IFS(HOUR(L689)&lt;12,"Morning",HOUR(L689)&lt;17,"Afternoon",HOUR(L689)&lt;21,"Evening",TRUE,"Night")</f>
        <v>Evening</v>
      </c>
    </row>
    <row r="691" spans="1:22" x14ac:dyDescent="0.3">
      <c r="A691" t="s">
        <v>781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  <c r="R691" s="5" t="str">
        <f t="shared" si="30"/>
        <v>Low Sale</v>
      </c>
      <c r="S691" s="7">
        <f t="shared" si="31"/>
        <v>4.7619047619047628</v>
      </c>
      <c r="T691" s="7" t="str" cm="1">
        <f t="array" ref="T691">_xlfn.IFS(Q690&gt;=8,"Excellent",Q690&gt;=6,"Good",Q690&gt;=4,"Average",TRUE,"Poor")</f>
        <v>Good</v>
      </c>
      <c r="U691" s="9">
        <f t="shared" si="32"/>
        <v>4.7388160073407425E-4</v>
      </c>
      <c r="V691" s="7" t="str" cm="1">
        <f t="array" ref="V691">_xlfn.IFS(HOUR(L690)&lt;12,"Morning",HOUR(L690)&lt;17,"Afternoon",HOUR(L690)&lt;21,"Evening",TRUE,"Night")</f>
        <v>Afternoon</v>
      </c>
    </row>
    <row r="692" spans="1:22" x14ac:dyDescent="0.3">
      <c r="A692" t="s">
        <v>782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  <c r="R692" s="5" t="str">
        <f t="shared" si="30"/>
        <v>Low Sale</v>
      </c>
      <c r="S692" s="7">
        <f t="shared" si="31"/>
        <v>4.7619047619047619</v>
      </c>
      <c r="T692" s="7" t="str" cm="1">
        <f t="array" ref="T692">_xlfn.IFS(Q691&gt;=8,"Excellent",Q691&gt;=6,"Good",Q691&gt;=4,"Average",TRUE,"Poor")</f>
        <v>Good</v>
      </c>
      <c r="U692" s="9">
        <f t="shared" si="32"/>
        <v>6.544481766449585E-4</v>
      </c>
      <c r="V692" s="7" t="str" cm="1">
        <f t="array" ref="V692">_xlfn.IFS(HOUR(L691)&lt;12,"Morning",HOUR(L691)&lt;17,"Afternoon",HOUR(L691)&lt;21,"Evening",TRUE,"Night")</f>
        <v>Morning</v>
      </c>
    </row>
    <row r="693" spans="1:22" x14ac:dyDescent="0.3">
      <c r="A693" t="s">
        <v>783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  <c r="R693" s="5" t="str">
        <f t="shared" si="30"/>
        <v>Medium Sale</v>
      </c>
      <c r="S693" s="7">
        <f t="shared" si="31"/>
        <v>4.7619047619047628</v>
      </c>
      <c r="T693" s="7" t="str" cm="1">
        <f t="array" ref="T693">_xlfn.IFS(Q692&gt;=8,"Excellent",Q692&gt;=6,"Good",Q692&gt;=4,"Average",TRUE,"Poor")</f>
        <v>Good</v>
      </c>
      <c r="U693" s="9">
        <f t="shared" si="32"/>
        <v>2.0537578622373902E-3</v>
      </c>
      <c r="V693" s="7" t="str" cm="1">
        <f t="array" ref="V693">_xlfn.IFS(HOUR(L692)&lt;12,"Morning",HOUR(L692)&lt;17,"Afternoon",HOUR(L692)&lt;21,"Evening",TRUE,"Night")</f>
        <v>Afternoon</v>
      </c>
    </row>
    <row r="694" spans="1:22" x14ac:dyDescent="0.3">
      <c r="A694" t="s">
        <v>784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5" t="str">
        <f t="shared" si="30"/>
        <v>Low Sale</v>
      </c>
      <c r="S694" s="7">
        <f t="shared" si="31"/>
        <v>4.7619047619047619</v>
      </c>
      <c r="T694" s="7" t="str" cm="1">
        <f t="array" ref="T694">_xlfn.IFS(Q693&gt;=8,"Excellent",Q693&gt;=6,"Good",Q693&gt;=4,"Average",TRUE,"Poor")</f>
        <v>Average</v>
      </c>
      <c r="U694" s="9">
        <f t="shared" si="32"/>
        <v>1.2525871510073005E-3</v>
      </c>
      <c r="V694" s="7" t="str" cm="1">
        <f t="array" ref="V694">_xlfn.IFS(HOUR(L693)&lt;12,"Morning",HOUR(L693)&lt;17,"Afternoon",HOUR(L693)&lt;21,"Evening",TRUE,"Night")</f>
        <v>Evening</v>
      </c>
    </row>
    <row r="695" spans="1:22" x14ac:dyDescent="0.3">
      <c r="A695" t="s">
        <v>785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  <c r="R695" s="5" t="str">
        <f t="shared" si="30"/>
        <v>Medium Sale</v>
      </c>
      <c r="S695" s="7">
        <f t="shared" si="31"/>
        <v>4.7619047619047628</v>
      </c>
      <c r="T695" s="7" t="str" cm="1">
        <f t="array" ref="T695">_xlfn.IFS(Q694&gt;=8,"Excellent",Q694&gt;=6,"Good",Q694&gt;=4,"Average",TRUE,"Poor")</f>
        <v>Excellent</v>
      </c>
      <c r="U695" s="9">
        <f t="shared" si="32"/>
        <v>1.5810141495402052E-3</v>
      </c>
      <c r="V695" s="7" t="str" cm="1">
        <f t="array" ref="V695">_xlfn.IFS(HOUR(L694)&lt;12,"Morning",HOUR(L694)&lt;17,"Afternoon",HOUR(L694)&lt;21,"Evening",TRUE,"Night")</f>
        <v>Afternoon</v>
      </c>
    </row>
    <row r="696" spans="1:22" x14ac:dyDescent="0.3">
      <c r="A696" t="s">
        <v>786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  <c r="R696" s="5" t="str">
        <f t="shared" si="30"/>
        <v>Medium Sale</v>
      </c>
      <c r="S696" s="7">
        <f t="shared" si="31"/>
        <v>4.7619047619047628</v>
      </c>
      <c r="T696" s="7" t="str" cm="1">
        <f t="array" ref="T696">_xlfn.IFS(Q695&gt;=8,"Excellent",Q695&gt;=6,"Good",Q695&gt;=4,"Average",TRUE,"Poor")</f>
        <v>Excellent</v>
      </c>
      <c r="U696" s="9">
        <f t="shared" si="32"/>
        <v>1.6699644829381486E-3</v>
      </c>
      <c r="V696" s="7" t="str" cm="1">
        <f t="array" ref="V696">_xlfn.IFS(HOUR(L695)&lt;12,"Morning",HOUR(L695)&lt;17,"Afternoon",HOUR(L695)&lt;21,"Evening",TRUE,"Night")</f>
        <v>Afternoon</v>
      </c>
    </row>
    <row r="697" spans="1:22" x14ac:dyDescent="0.3">
      <c r="A697" t="s">
        <v>787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  <c r="R697" s="5" t="str">
        <f t="shared" si="30"/>
        <v>Low Sale</v>
      </c>
      <c r="S697" s="7">
        <f t="shared" si="31"/>
        <v>4.7619047619047628</v>
      </c>
      <c r="T697" s="7" t="str" cm="1">
        <f t="array" ref="T697">_xlfn.IFS(Q696&gt;=8,"Excellent",Q696&gt;=6,"Good",Q696&gt;=4,"Average",TRUE,"Poor")</f>
        <v>Good</v>
      </c>
      <c r="U697" s="9">
        <f t="shared" si="32"/>
        <v>1.539074847609157E-3</v>
      </c>
      <c r="V697" s="7" t="str" cm="1">
        <f t="array" ref="V697">_xlfn.IFS(HOUR(L696)&lt;12,"Morning",HOUR(L696)&lt;17,"Afternoon",HOUR(L696)&lt;21,"Evening",TRUE,"Night")</f>
        <v>Afternoon</v>
      </c>
    </row>
    <row r="698" spans="1:22" x14ac:dyDescent="0.3">
      <c r="A698" t="s">
        <v>788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  <c r="R698" s="5" t="str">
        <f t="shared" si="30"/>
        <v>Low Sale</v>
      </c>
      <c r="S698" s="7">
        <f t="shared" si="31"/>
        <v>4.7619047619047628</v>
      </c>
      <c r="T698" s="7" t="str" cm="1">
        <f t="array" ref="T698">_xlfn.IFS(Q697&gt;=8,"Excellent",Q697&gt;=6,"Good",Q697&gt;=4,"Average",TRUE,"Poor")</f>
        <v>Good</v>
      </c>
      <c r="U698" s="9">
        <f t="shared" si="32"/>
        <v>1.4202468254711877E-3</v>
      </c>
      <c r="V698" s="7" t="str" cm="1">
        <f t="array" ref="V698">_xlfn.IFS(HOUR(L697)&lt;12,"Morning",HOUR(L697)&lt;17,"Afternoon",HOUR(L697)&lt;21,"Evening",TRUE,"Night")</f>
        <v>Evening</v>
      </c>
    </row>
    <row r="699" spans="1:22" x14ac:dyDescent="0.3">
      <c r="A699" t="s">
        <v>789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  <c r="R699" s="5" t="str">
        <f t="shared" si="30"/>
        <v>Low Sale</v>
      </c>
      <c r="S699" s="7">
        <f t="shared" si="31"/>
        <v>4.7619047619047628</v>
      </c>
      <c r="T699" s="7" t="str" cm="1">
        <f t="array" ref="T699">_xlfn.IFS(Q698&gt;=8,"Excellent",Q698&gt;=6,"Good",Q698&gt;=4,"Average",TRUE,"Poor")</f>
        <v>Good</v>
      </c>
      <c r="U699" s="9">
        <f t="shared" si="32"/>
        <v>3.5163991448543817E-4</v>
      </c>
      <c r="V699" s="7" t="str" cm="1">
        <f t="array" ref="V699">_xlfn.IFS(HOUR(L698)&lt;12,"Morning",HOUR(L698)&lt;17,"Afternoon",HOUR(L698)&lt;21,"Evening",TRUE,"Night")</f>
        <v>Evening</v>
      </c>
    </row>
    <row r="700" spans="1:22" x14ac:dyDescent="0.3">
      <c r="A700" t="s">
        <v>790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456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  <c r="R700" s="5" t="str">
        <f t="shared" si="30"/>
        <v>Low Sale</v>
      </c>
      <c r="S700" s="7">
        <f t="shared" si="31"/>
        <v>4.7619047619047628</v>
      </c>
      <c r="T700" s="7" t="str" cm="1">
        <f t="array" ref="T700">_xlfn.IFS(Q699&gt;=8,"Excellent",Q699&gt;=6,"Good",Q699&gt;=4,"Average",TRUE,"Poor")</f>
        <v>Average</v>
      </c>
      <c r="U700" s="9">
        <f t="shared" si="32"/>
        <v>8.0874579444709311E-4</v>
      </c>
      <c r="V700" s="7" t="str" cm="1">
        <f t="array" ref="V700">_xlfn.IFS(HOUR(L699)&lt;12,"Morning",HOUR(L699)&lt;17,"Afternoon",HOUR(L699)&lt;21,"Evening",TRUE,"Night")</f>
        <v>Evening</v>
      </c>
    </row>
    <row r="701" spans="1:22" x14ac:dyDescent="0.3">
      <c r="A701" t="s">
        <v>791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  <c r="R701" s="5" t="str">
        <f t="shared" si="30"/>
        <v>Medium Sale</v>
      </c>
      <c r="S701" s="7">
        <f t="shared" si="31"/>
        <v>4.7619047619047628</v>
      </c>
      <c r="T701" s="7" t="str" cm="1">
        <f t="array" ref="T701">_xlfn.IFS(Q700&gt;=8,"Excellent",Q700&gt;=6,"Good",Q700&gt;=4,"Average",TRUE,"Poor")</f>
        <v>Good</v>
      </c>
      <c r="U701" s="9">
        <f t="shared" si="32"/>
        <v>2.0359092756016186E-3</v>
      </c>
      <c r="V701" s="7" t="str" cm="1">
        <f t="array" ref="V701">_xlfn.IFS(HOUR(L700)&lt;12,"Morning",HOUR(L700)&lt;17,"Afternoon",HOUR(L700)&lt;21,"Evening",TRUE,"Night")</f>
        <v>Evening</v>
      </c>
    </row>
    <row r="702" spans="1:22" x14ac:dyDescent="0.3">
      <c r="A702" t="s">
        <v>792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  <c r="R702" s="5" t="str">
        <f t="shared" si="30"/>
        <v>High Sale</v>
      </c>
      <c r="S702" s="7">
        <f t="shared" si="31"/>
        <v>4.7619047619047619</v>
      </c>
      <c r="T702" s="7" t="str" cm="1">
        <f t="array" ref="T702">_xlfn.IFS(Q701&gt;=8,"Excellent",Q701&gt;=6,"Good",Q701&gt;=4,"Average",TRUE,"Poor")</f>
        <v>Excellent</v>
      </c>
      <c r="U702" s="9">
        <f t="shared" si="32"/>
        <v>3.1698309599047913E-3</v>
      </c>
      <c r="V702" s="7" t="str" cm="1">
        <f t="array" ref="V702">_xlfn.IFS(HOUR(L701)&lt;12,"Morning",HOUR(L701)&lt;17,"Afternoon",HOUR(L701)&lt;21,"Evening",TRUE,"Night")</f>
        <v>Afternoon</v>
      </c>
    </row>
    <row r="703" spans="1:22" x14ac:dyDescent="0.3">
      <c r="A703" t="s">
        <v>793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  <c r="R703" s="5" t="str">
        <f t="shared" si="30"/>
        <v>Medium Sale</v>
      </c>
      <c r="S703" s="7">
        <f t="shared" si="31"/>
        <v>4.7619047619047628</v>
      </c>
      <c r="T703" s="7" t="str" cm="1">
        <f t="array" ref="T703">_xlfn.IFS(Q702&gt;=8,"Excellent",Q702&gt;=6,"Good",Q702&gt;=4,"Average",TRUE,"Poor")</f>
        <v>Excellent</v>
      </c>
      <c r="U703" s="9">
        <f t="shared" si="32"/>
        <v>1.5711958013361923E-3</v>
      </c>
      <c r="V703" s="7" t="str" cm="1">
        <f t="array" ref="V703">_xlfn.IFS(HOUR(L702)&lt;12,"Morning",HOUR(L702)&lt;17,"Afternoon",HOUR(L702)&lt;21,"Evening",TRUE,"Night")</f>
        <v>Afternoon</v>
      </c>
    </row>
    <row r="704" spans="1:22" x14ac:dyDescent="0.3">
      <c r="A704" t="s">
        <v>794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  <c r="R704" s="5" t="str">
        <f t="shared" si="30"/>
        <v>Low Sale</v>
      </c>
      <c r="S704" s="7">
        <f t="shared" si="31"/>
        <v>4.7619047619047619</v>
      </c>
      <c r="T704" s="7" t="str" cm="1">
        <f t="array" ref="T704">_xlfn.IFS(Q703&gt;=8,"Excellent",Q703&gt;=6,"Good",Q703&gt;=4,"Average",TRUE,"Poor")</f>
        <v>Average</v>
      </c>
      <c r="U704" s="9">
        <f t="shared" si="32"/>
        <v>3.1522749730499342E-4</v>
      </c>
      <c r="V704" s="7" t="str" cm="1">
        <f t="array" ref="V704">_xlfn.IFS(HOUR(L703)&lt;12,"Morning",HOUR(L703)&lt;17,"Afternoon",HOUR(L703)&lt;21,"Evening",TRUE,"Night")</f>
        <v>Evening</v>
      </c>
    </row>
    <row r="705" spans="1:22" x14ac:dyDescent="0.3">
      <c r="A705" t="s">
        <v>795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5" t="str">
        <f t="shared" si="30"/>
        <v>Low Sale</v>
      </c>
      <c r="S705" s="7">
        <f t="shared" si="31"/>
        <v>4.7619047619047619</v>
      </c>
      <c r="T705" s="7" t="str" cm="1">
        <f t="array" ref="T705">_xlfn.IFS(Q704&gt;=8,"Excellent",Q704&gt;=6,"Good",Q704&gt;=4,"Average",TRUE,"Poor")</f>
        <v>Average</v>
      </c>
      <c r="U705" s="9">
        <f t="shared" si="32"/>
        <v>6.4274418540838688E-4</v>
      </c>
      <c r="V705" s="7" t="str" cm="1">
        <f t="array" ref="V705">_xlfn.IFS(HOUR(L704)&lt;12,"Morning",HOUR(L704)&lt;17,"Afternoon",HOUR(L704)&lt;21,"Evening",TRUE,"Night")</f>
        <v>Evening</v>
      </c>
    </row>
    <row r="706" spans="1:22" x14ac:dyDescent="0.3">
      <c r="A706" t="s">
        <v>796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  <c r="R706" s="5" t="str">
        <f t="shared" si="30"/>
        <v>Medium Sale</v>
      </c>
      <c r="S706" s="7">
        <f t="shared" si="31"/>
        <v>4.7619047619047619</v>
      </c>
      <c r="T706" s="7" t="str" cm="1">
        <f t="array" ref="T706">_xlfn.IFS(Q705&gt;=8,"Excellent",Q705&gt;=6,"Good",Q705&gt;=4,"Average",TRUE,"Poor")</f>
        <v>Excellent</v>
      </c>
      <c r="U706" s="9">
        <f t="shared" si="32"/>
        <v>2.3545504370172791E-3</v>
      </c>
      <c r="V706" s="7" t="str" cm="1">
        <f t="array" ref="V706">_xlfn.IFS(HOUR(L705)&lt;12,"Morning",HOUR(L705)&lt;17,"Afternoon",HOUR(L705)&lt;21,"Evening",TRUE,"Night")</f>
        <v>Morning</v>
      </c>
    </row>
    <row r="707" spans="1:22" x14ac:dyDescent="0.3">
      <c r="A707" t="s">
        <v>797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  <c r="R707" s="5" t="str">
        <f t="shared" si="30"/>
        <v>Medium Sale</v>
      </c>
      <c r="S707" s="7">
        <f t="shared" si="31"/>
        <v>4.7619047619047628</v>
      </c>
      <c r="T707" s="7" t="str" cm="1">
        <f t="array" ref="T707">_xlfn.IFS(Q706&gt;=8,"Excellent",Q706&gt;=6,"Good",Q706&gt;=4,"Average",TRUE,"Poor")</f>
        <v>Good</v>
      </c>
      <c r="U707" s="9">
        <f t="shared" si="32"/>
        <v>2.5862894635013951E-3</v>
      </c>
      <c r="V707" s="7" t="str" cm="1">
        <f t="array" ref="V707">_xlfn.IFS(HOUR(L706)&lt;12,"Morning",HOUR(L706)&lt;17,"Afternoon",HOUR(L706)&lt;21,"Evening",TRUE,"Night")</f>
        <v>Afternoon</v>
      </c>
    </row>
    <row r="708" spans="1:22" x14ac:dyDescent="0.3">
      <c r="A708" t="s">
        <v>798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308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  <c r="R708" s="5" t="str">
        <f t="shared" ref="R708:R771" si="33">IF(J707&gt;=1000,"High Sale",IF(J707&gt;=500,"Medium Sale","Low Sale"))</f>
        <v>Medium Sale</v>
      </c>
      <c r="S708" s="7">
        <f t="shared" ref="S708:S771" si="34">(P707/J707)*100</f>
        <v>4.7619047619047619</v>
      </c>
      <c r="T708" s="7" t="str" cm="1">
        <f t="array" ref="T708">_xlfn.IFS(Q707&gt;=8,"Excellent",Q707&gt;=6,"Good",Q707&gt;=4,"Average",TRUE,"Poor")</f>
        <v>Excellent</v>
      </c>
      <c r="U708" s="9">
        <f t="shared" ref="U708:U771" si="35">J707/SUM($J$2:$J$1001)</f>
        <v>1.6333244881503262E-3</v>
      </c>
      <c r="V708" s="7" t="str" cm="1">
        <f t="array" ref="V708">_xlfn.IFS(HOUR(L707)&lt;12,"Morning",HOUR(L707)&lt;17,"Afternoon",HOUR(L707)&lt;21,"Evening",TRUE,"Night")</f>
        <v>Afternoon</v>
      </c>
    </row>
    <row r="709" spans="1:22" x14ac:dyDescent="0.3">
      <c r="A709" t="s">
        <v>799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  <c r="R709" s="5" t="str">
        <f t="shared" si="33"/>
        <v>Low Sale</v>
      </c>
      <c r="S709" s="7">
        <f t="shared" si="34"/>
        <v>4.7619047619047619</v>
      </c>
      <c r="T709" s="7" t="str" cm="1">
        <f t="array" ref="T709">_xlfn.IFS(Q708&gt;=8,"Excellent",Q708&gt;=6,"Good",Q708&gt;=4,"Average",TRUE,"Poor")</f>
        <v>Good</v>
      </c>
      <c r="U709" s="9">
        <f t="shared" si="35"/>
        <v>5.5919069241397337E-4</v>
      </c>
      <c r="V709" s="7" t="str" cm="1">
        <f t="array" ref="V709">_xlfn.IFS(HOUR(L708)&lt;12,"Morning",HOUR(L708)&lt;17,"Afternoon",HOUR(L708)&lt;21,"Evening",TRUE,"Night")</f>
        <v>Evening</v>
      </c>
    </row>
    <row r="710" spans="1:22" x14ac:dyDescent="0.3">
      <c r="A710" t="s">
        <v>800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  <c r="R710" s="5" t="str">
        <f t="shared" si="33"/>
        <v>Low Sale</v>
      </c>
      <c r="S710" s="7">
        <f t="shared" si="34"/>
        <v>4.7619047619047619</v>
      </c>
      <c r="T710" s="7" t="str" cm="1">
        <f t="array" ref="T710">_xlfn.IFS(Q709&gt;=8,"Excellent",Q709&gt;=6,"Good",Q709&gt;=4,"Average",TRUE,"Poor")</f>
        <v>Average</v>
      </c>
      <c r="U710" s="9">
        <f t="shared" si="35"/>
        <v>2.2426147652741796E-4</v>
      </c>
      <c r="V710" s="7" t="str" cm="1">
        <f t="array" ref="V710">_xlfn.IFS(HOUR(L709)&lt;12,"Morning",HOUR(L709)&lt;17,"Afternoon",HOUR(L709)&lt;21,"Evening",TRUE,"Night")</f>
        <v>Evening</v>
      </c>
    </row>
    <row r="711" spans="1:22" x14ac:dyDescent="0.3">
      <c r="A711" t="s">
        <v>801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  <c r="R711" s="5" t="str">
        <f t="shared" si="33"/>
        <v>Low Sale</v>
      </c>
      <c r="S711" s="7">
        <f t="shared" si="34"/>
        <v>4.7619047619047628</v>
      </c>
      <c r="T711" s="7" t="str" cm="1">
        <f t="array" ref="T711">_xlfn.IFS(Q710&gt;=8,"Excellent",Q710&gt;=6,"Good",Q710&gt;=4,"Average",TRUE,"Poor")</f>
        <v>Excellent</v>
      </c>
      <c r="U711" s="9">
        <f t="shared" si="35"/>
        <v>4.0625854025610537E-4</v>
      </c>
      <c r="V711" s="7" t="str" cm="1">
        <f t="array" ref="V711">_xlfn.IFS(HOUR(L710)&lt;12,"Morning",HOUR(L710)&lt;17,"Afternoon",HOUR(L710)&lt;21,"Evening",TRUE,"Night")</f>
        <v>Evening</v>
      </c>
    </row>
    <row r="712" spans="1:22" x14ac:dyDescent="0.3">
      <c r="A712" t="s">
        <v>802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  <c r="R712" s="5" t="str">
        <f t="shared" si="33"/>
        <v>Low Sale</v>
      </c>
      <c r="S712" s="7">
        <f t="shared" si="34"/>
        <v>4.7619047619047619</v>
      </c>
      <c r="T712" s="7" t="str" cm="1">
        <f t="array" ref="T712">_xlfn.IFS(Q711&gt;=8,"Excellent",Q711&gt;=6,"Good",Q711&gt;=4,"Average",TRUE,"Poor")</f>
        <v>Good</v>
      </c>
      <c r="U712" s="9">
        <f t="shared" si="35"/>
        <v>2.5066047898324043E-4</v>
      </c>
      <c r="V712" s="7" t="str" cm="1">
        <f t="array" ref="V712">_xlfn.IFS(HOUR(L711)&lt;12,"Morning",HOUR(L711)&lt;17,"Afternoon",HOUR(L711)&lt;21,"Evening",TRUE,"Night")</f>
        <v>Evening</v>
      </c>
    </row>
    <row r="713" spans="1:22" x14ac:dyDescent="0.3">
      <c r="A713" t="s">
        <v>803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  <c r="R713" s="5" t="str">
        <f t="shared" si="33"/>
        <v>Medium Sale</v>
      </c>
      <c r="S713" s="7">
        <f t="shared" si="34"/>
        <v>4.7619047619047619</v>
      </c>
      <c r="T713" s="7" t="str" cm="1">
        <f t="array" ref="T713">_xlfn.IFS(Q712&gt;=8,"Excellent",Q712&gt;=6,"Good",Q712&gt;=4,"Average",TRUE,"Poor")</f>
        <v>Excellent</v>
      </c>
      <c r="U713" s="9">
        <f t="shared" si="35"/>
        <v>1.5726262891539956E-3</v>
      </c>
      <c r="V713" s="7" t="str" cm="1">
        <f t="array" ref="V713">_xlfn.IFS(HOUR(L712)&lt;12,"Morning",HOUR(L712)&lt;17,"Afternoon",HOUR(L712)&lt;21,"Evening",TRUE,"Night")</f>
        <v>Evening</v>
      </c>
    </row>
    <row r="714" spans="1:22" x14ac:dyDescent="0.3">
      <c r="A714" t="s">
        <v>804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456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  <c r="R714" s="5" t="str">
        <f t="shared" si="33"/>
        <v>Low Sale</v>
      </c>
      <c r="S714" s="7">
        <f t="shared" si="34"/>
        <v>4.7619047619047619</v>
      </c>
      <c r="T714" s="7" t="str" cm="1">
        <f t="array" ref="T714">_xlfn.IFS(Q713&gt;=8,"Excellent",Q713&gt;=6,"Good",Q713&gt;=4,"Average",TRUE,"Poor")</f>
        <v>Excellent</v>
      </c>
      <c r="U714" s="9">
        <f t="shared" si="35"/>
        <v>9.8222495344249799E-4</v>
      </c>
      <c r="V714" s="7" t="str" cm="1">
        <f t="array" ref="V714">_xlfn.IFS(HOUR(L713)&lt;12,"Morning",HOUR(L713)&lt;17,"Afternoon",HOUR(L713)&lt;21,"Evening",TRUE,"Night")</f>
        <v>Afternoon</v>
      </c>
    </row>
    <row r="715" spans="1:22" x14ac:dyDescent="0.3">
      <c r="A715" t="s">
        <v>805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  <c r="R715" s="5" t="str">
        <f t="shared" si="33"/>
        <v>Medium Sale</v>
      </c>
      <c r="S715" s="7">
        <f t="shared" si="34"/>
        <v>4.7619047619047619</v>
      </c>
      <c r="T715" s="7" t="str" cm="1">
        <f t="array" ref="T715">_xlfn.IFS(Q714&gt;=8,"Excellent",Q714&gt;=6,"Good",Q714&gt;=4,"Average",TRUE,"Poor")</f>
        <v>Good</v>
      </c>
      <c r="U715" s="9">
        <f t="shared" si="35"/>
        <v>2.2714520992376214E-3</v>
      </c>
      <c r="V715" s="7" t="str" cm="1">
        <f t="array" ref="V715">_xlfn.IFS(HOUR(L714)&lt;12,"Morning",HOUR(L714)&lt;17,"Afternoon",HOUR(L714)&lt;21,"Evening",TRUE,"Night")</f>
        <v>Afternoon</v>
      </c>
    </row>
    <row r="716" spans="1:22" x14ac:dyDescent="0.3">
      <c r="A716" t="s">
        <v>806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308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  <c r="R716" s="5" t="str">
        <f t="shared" si="33"/>
        <v>Low Sale</v>
      </c>
      <c r="S716" s="7">
        <f t="shared" si="34"/>
        <v>4.7619047619047628</v>
      </c>
      <c r="T716" s="7" t="str" cm="1">
        <f t="array" ref="T716">_xlfn.IFS(Q715&gt;=8,"Excellent",Q715&gt;=6,"Good",Q715&gt;=4,"Average",TRUE,"Poor")</f>
        <v>Good</v>
      </c>
      <c r="U716" s="9">
        <f t="shared" si="35"/>
        <v>4.0525069656628947E-4</v>
      </c>
      <c r="V716" s="7" t="str" cm="1">
        <f t="array" ref="V716">_xlfn.IFS(HOUR(L715)&lt;12,"Morning",HOUR(L715)&lt;17,"Afternoon",HOUR(L715)&lt;21,"Evening",TRUE,"Night")</f>
        <v>Afternoon</v>
      </c>
    </row>
    <row r="717" spans="1:22" x14ac:dyDescent="0.3">
      <c r="A717" t="s">
        <v>807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  <c r="R717" s="5" t="str">
        <f t="shared" si="33"/>
        <v>Medium Sale</v>
      </c>
      <c r="S717" s="7">
        <f t="shared" si="34"/>
        <v>4.761904761904761</v>
      </c>
      <c r="T717" s="7" t="str" cm="1">
        <f t="array" ref="T717">_xlfn.IFS(Q716&gt;=8,"Excellent",Q716&gt;=6,"Good",Q716&gt;=4,"Average",TRUE,"Poor")</f>
        <v>Excellent</v>
      </c>
      <c r="U717" s="9">
        <f t="shared" si="35"/>
        <v>2.5670754112213571E-3</v>
      </c>
      <c r="V717" s="7" t="str" cm="1">
        <f t="array" ref="V717">_xlfn.IFS(HOUR(L716)&lt;12,"Morning",HOUR(L716)&lt;17,"Afternoon",HOUR(L716)&lt;21,"Evening",TRUE,"Night")</f>
        <v>Morning</v>
      </c>
    </row>
    <row r="718" spans="1:22" x14ac:dyDescent="0.3">
      <c r="A718" t="s">
        <v>808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  <c r="R718" s="5" t="str">
        <f t="shared" si="33"/>
        <v>Low Sale</v>
      </c>
      <c r="S718" s="7">
        <f t="shared" si="34"/>
        <v>4.7619047619047628</v>
      </c>
      <c r="T718" s="7" t="str" cm="1">
        <f t="array" ref="T718">_xlfn.IFS(Q717&gt;=8,"Excellent",Q717&gt;=6,"Good",Q717&gt;=4,"Average",TRUE,"Poor")</f>
        <v>Good</v>
      </c>
      <c r="U718" s="9">
        <f t="shared" si="35"/>
        <v>5.7999778794565616E-4</v>
      </c>
      <c r="V718" s="7" t="str" cm="1">
        <f t="array" ref="V718">_xlfn.IFS(HOUR(L717)&lt;12,"Morning",HOUR(L717)&lt;17,"Afternoon",HOUR(L717)&lt;21,"Evening",TRUE,"Night")</f>
        <v>Evening</v>
      </c>
    </row>
    <row r="719" spans="1:22" x14ac:dyDescent="0.3">
      <c r="A719" t="s">
        <v>809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  <c r="R719" s="5" t="str">
        <f t="shared" si="33"/>
        <v>Medium Sale</v>
      </c>
      <c r="S719" s="7">
        <f t="shared" si="34"/>
        <v>4.7619047619047619</v>
      </c>
      <c r="T719" s="7" t="str" cm="1">
        <f t="array" ref="T719">_xlfn.IFS(Q718&gt;=8,"Excellent",Q718&gt;=6,"Good",Q718&gt;=4,"Average",TRUE,"Poor")</f>
        <v>Average</v>
      </c>
      <c r="U719" s="9">
        <f t="shared" si="35"/>
        <v>1.626269582321615E-3</v>
      </c>
      <c r="V719" s="7" t="str" cm="1">
        <f t="array" ref="V719">_xlfn.IFS(HOUR(L718)&lt;12,"Morning",HOUR(L718)&lt;17,"Afternoon",HOUR(L718)&lt;21,"Evening",TRUE,"Night")</f>
        <v>Afternoon</v>
      </c>
    </row>
    <row r="720" spans="1:22" x14ac:dyDescent="0.3">
      <c r="A720" t="s">
        <v>810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  <c r="R720" s="5" t="str">
        <f t="shared" si="33"/>
        <v>Low Sale</v>
      </c>
      <c r="S720" s="7">
        <f t="shared" si="34"/>
        <v>4.7619047619047628</v>
      </c>
      <c r="T720" s="7" t="str" cm="1">
        <f t="array" ref="T720">_xlfn.IFS(Q719&gt;=8,"Excellent",Q719&gt;=6,"Good",Q719&gt;=4,"Average",TRUE,"Poor")</f>
        <v>Excellent</v>
      </c>
      <c r="U720" s="9">
        <f t="shared" si="35"/>
        <v>1.1645471280388678E-4</v>
      </c>
      <c r="V720" s="7" t="str" cm="1">
        <f t="array" ref="V720">_xlfn.IFS(HOUR(L719)&lt;12,"Morning",HOUR(L719)&lt;17,"Afternoon",HOUR(L719)&lt;21,"Evening",TRUE,"Night")</f>
        <v>Afternoon</v>
      </c>
    </row>
    <row r="721" spans="1:22" x14ac:dyDescent="0.3">
      <c r="A721" t="s">
        <v>811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  <c r="R721" s="5" t="str">
        <f t="shared" si="33"/>
        <v>Low Sale</v>
      </c>
      <c r="S721" s="7">
        <f t="shared" si="34"/>
        <v>4.7619047619047628</v>
      </c>
      <c r="T721" s="7" t="str" cm="1">
        <f t="array" ref="T721">_xlfn.IFS(Q720&gt;=8,"Excellent",Q720&gt;=6,"Good",Q720&gt;=4,"Average",TRUE,"Poor")</f>
        <v>Good</v>
      </c>
      <c r="U721" s="9">
        <f t="shared" si="35"/>
        <v>4.4260593526301362E-4</v>
      </c>
      <c r="V721" s="7" t="str" cm="1">
        <f t="array" ref="V721">_xlfn.IFS(HOUR(L720)&lt;12,"Morning",HOUR(L720)&lt;17,"Afternoon",HOUR(L720)&lt;21,"Evening",TRUE,"Night")</f>
        <v>Afternoon</v>
      </c>
    </row>
    <row r="722" spans="1:22" x14ac:dyDescent="0.3">
      <c r="A722" t="s">
        <v>812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  <c r="R722" s="5" t="str">
        <f t="shared" si="33"/>
        <v>Low Sale</v>
      </c>
      <c r="S722" s="7">
        <f t="shared" si="34"/>
        <v>4.7619047619047619</v>
      </c>
      <c r="T722" s="7" t="str" cm="1">
        <f t="array" ref="T722">_xlfn.IFS(Q721&gt;=8,"Excellent",Q721&gt;=6,"Good",Q721&gt;=4,"Average",TRUE,"Poor")</f>
        <v>Good</v>
      </c>
      <c r="U722" s="9">
        <f t="shared" si="35"/>
        <v>3.4097627802545075E-4</v>
      </c>
      <c r="V722" s="7" t="str" cm="1">
        <f t="array" ref="V722">_xlfn.IFS(HOUR(L721)&lt;12,"Morning",HOUR(L721)&lt;17,"Afternoon",HOUR(L721)&lt;21,"Evening",TRUE,"Night")</f>
        <v>Afternoon</v>
      </c>
    </row>
    <row r="723" spans="1:22" x14ac:dyDescent="0.3">
      <c r="A723" t="s">
        <v>813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5" t="str">
        <f t="shared" si="33"/>
        <v>Low Sale</v>
      </c>
      <c r="S723" s="7">
        <f t="shared" si="34"/>
        <v>4.7619047619047619</v>
      </c>
      <c r="T723" s="7" t="str" cm="1">
        <f t="array" ref="T723">_xlfn.IFS(Q722&gt;=8,"Excellent",Q722&gt;=6,"Good",Q722&gt;=4,"Average",TRUE,"Poor")</f>
        <v>Good</v>
      </c>
      <c r="U723" s="9">
        <f t="shared" si="35"/>
        <v>5.8168836445760539E-4</v>
      </c>
      <c r="V723" s="7" t="str" cm="1">
        <f t="array" ref="V723">_xlfn.IFS(HOUR(L722)&lt;12,"Morning",HOUR(L722)&lt;17,"Afternoon",HOUR(L722)&lt;21,"Evening",TRUE,"Night")</f>
        <v>Evening</v>
      </c>
    </row>
    <row r="724" spans="1:22" x14ac:dyDescent="0.3">
      <c r="A724" t="s">
        <v>814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292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  <c r="R724" s="5" t="str">
        <f t="shared" si="33"/>
        <v>Medium Sale</v>
      </c>
      <c r="S724" s="7">
        <f t="shared" si="34"/>
        <v>4.7619047619047619</v>
      </c>
      <c r="T724" s="7" t="str" cm="1">
        <f t="array" ref="T724">_xlfn.IFS(Q723&gt;=8,"Excellent",Q723&gt;=6,"Good",Q723&gt;=4,"Average",TRUE,"Poor")</f>
        <v>Average</v>
      </c>
      <c r="U724" s="9">
        <f t="shared" si="35"/>
        <v>2.6518318144261961E-3</v>
      </c>
      <c r="V724" s="7" t="str" cm="1">
        <f t="array" ref="V724">_xlfn.IFS(HOUR(L723)&lt;12,"Morning",HOUR(L723)&lt;17,"Afternoon",HOUR(L723)&lt;21,"Evening",TRUE,"Night")</f>
        <v>Afternoon</v>
      </c>
    </row>
    <row r="725" spans="1:22" x14ac:dyDescent="0.3">
      <c r="A725" t="s">
        <v>815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  <c r="R725" s="5" t="str">
        <f t="shared" si="33"/>
        <v>Low Sale</v>
      </c>
      <c r="S725" s="7">
        <f t="shared" si="34"/>
        <v>4.7619047619047619</v>
      </c>
      <c r="T725" s="7" t="str" cm="1">
        <f t="array" ref="T725">_xlfn.IFS(Q724&gt;=8,"Excellent",Q724&gt;=6,"Good",Q724&gt;=4,"Average",TRUE,"Poor")</f>
        <v>Good</v>
      </c>
      <c r="U725" s="9">
        <f t="shared" si="35"/>
        <v>4.3031674446461352E-4</v>
      </c>
      <c r="V725" s="7" t="str" cm="1">
        <f t="array" ref="V725">_xlfn.IFS(HOUR(L724)&lt;12,"Morning",HOUR(L724)&lt;17,"Afternoon",HOUR(L724)&lt;21,"Evening",TRUE,"Night")</f>
        <v>Afternoon</v>
      </c>
    </row>
    <row r="726" spans="1:22" x14ac:dyDescent="0.3">
      <c r="A726" t="s">
        <v>816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  <c r="R726" s="5" t="str">
        <f t="shared" si="33"/>
        <v>Low Sale</v>
      </c>
      <c r="S726" s="7">
        <f t="shared" si="34"/>
        <v>4.7619047619047628</v>
      </c>
      <c r="T726" s="7" t="str" cm="1">
        <f t="array" ref="T726">_xlfn.IFS(Q725&gt;=8,"Excellent",Q725&gt;=6,"Good",Q725&gt;=4,"Average",TRUE,"Poor")</f>
        <v>Good</v>
      </c>
      <c r="U726" s="9">
        <f t="shared" si="35"/>
        <v>8.3680286232809661E-4</v>
      </c>
      <c r="V726" s="7" t="str" cm="1">
        <f t="array" ref="V726">_xlfn.IFS(HOUR(L725)&lt;12,"Morning",HOUR(L725)&lt;17,"Afternoon",HOUR(L725)&lt;21,"Evening",TRUE,"Night")</f>
        <v>Evening</v>
      </c>
    </row>
    <row r="727" spans="1:22" x14ac:dyDescent="0.3">
      <c r="A727" t="s">
        <v>817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  <c r="R727" s="5" t="str">
        <f t="shared" si="33"/>
        <v>Low Sale</v>
      </c>
      <c r="S727" s="7">
        <f t="shared" si="34"/>
        <v>4.7619047619047619</v>
      </c>
      <c r="T727" s="7" t="str" cm="1">
        <f t="array" ref="T727">_xlfn.IFS(Q726&gt;=8,"Excellent",Q726&gt;=6,"Good",Q726&gt;=4,"Average",TRUE,"Poor")</f>
        <v>Good</v>
      </c>
      <c r="U727" s="9">
        <f t="shared" si="35"/>
        <v>3.0352350606842186E-4</v>
      </c>
      <c r="V727" s="7" t="str" cm="1">
        <f t="array" ref="V727">_xlfn.IFS(HOUR(L726)&lt;12,"Morning",HOUR(L726)&lt;17,"Afternoon",HOUR(L726)&lt;21,"Evening",TRUE,"Night")</f>
        <v>Evening</v>
      </c>
    </row>
    <row r="728" spans="1:22" x14ac:dyDescent="0.3">
      <c r="A728" t="s">
        <v>818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  <c r="R728" s="5" t="str">
        <f t="shared" si="33"/>
        <v>Low Sale</v>
      </c>
      <c r="S728" s="7">
        <f t="shared" si="34"/>
        <v>4.7619047619047619</v>
      </c>
      <c r="T728" s="7" t="str" cm="1">
        <f t="array" ref="T728">_xlfn.IFS(Q727&gt;=8,"Excellent",Q727&gt;=6,"Good",Q727&gt;=4,"Average",TRUE,"Poor")</f>
        <v>Good</v>
      </c>
      <c r="U728" s="9">
        <f t="shared" si="35"/>
        <v>7.4125277831619738E-4</v>
      </c>
      <c r="V728" s="7" t="str" cm="1">
        <f t="array" ref="V728">_xlfn.IFS(HOUR(L727)&lt;12,"Morning",HOUR(L727)&lt;17,"Afternoon",HOUR(L727)&lt;21,"Evening",TRUE,"Night")</f>
        <v>Afternoon</v>
      </c>
    </row>
    <row r="729" spans="1:22" x14ac:dyDescent="0.3">
      <c r="A729" t="s">
        <v>819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  <c r="R729" s="5" t="str">
        <f t="shared" si="33"/>
        <v>Low Sale</v>
      </c>
      <c r="S729" s="7">
        <f t="shared" si="34"/>
        <v>4.7619047619047619</v>
      </c>
      <c r="T729" s="7" t="str" cm="1">
        <f t="array" ref="T729">_xlfn.IFS(Q728&gt;=8,"Excellent",Q728&gt;=6,"Good",Q728&gt;=4,"Average",TRUE,"Poor")</f>
        <v>Average</v>
      </c>
      <c r="U729" s="9">
        <f t="shared" si="35"/>
        <v>5.4199232751356698E-4</v>
      </c>
      <c r="V729" s="7" t="str" cm="1">
        <f t="array" ref="V729">_xlfn.IFS(HOUR(L728)&lt;12,"Morning",HOUR(L728)&lt;17,"Afternoon",HOUR(L728)&lt;21,"Evening",TRUE,"Night")</f>
        <v>Morning</v>
      </c>
    </row>
    <row r="730" spans="1:22" x14ac:dyDescent="0.3">
      <c r="A730" t="s">
        <v>820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  <c r="R730" s="5" t="str">
        <f t="shared" si="33"/>
        <v>Medium Sale</v>
      </c>
      <c r="S730" s="7">
        <f t="shared" si="34"/>
        <v>4.7619047619047619</v>
      </c>
      <c r="T730" s="7" t="str" cm="1">
        <f t="array" ref="T730">_xlfn.IFS(Q729&gt;=8,"Excellent",Q729&gt;=6,"Good",Q729&gt;=4,"Average",TRUE,"Poor")</f>
        <v>Excellent</v>
      </c>
      <c r="U730" s="9">
        <f t="shared" si="35"/>
        <v>2.2673231912180526E-3</v>
      </c>
      <c r="V730" s="7" t="str" cm="1">
        <f t="array" ref="V730">_xlfn.IFS(HOUR(L729)&lt;12,"Morning",HOUR(L729)&lt;17,"Afternoon",HOUR(L729)&lt;21,"Evening",TRUE,"Night")</f>
        <v>Evening</v>
      </c>
    </row>
    <row r="731" spans="1:22" x14ac:dyDescent="0.3">
      <c r="A731" t="s">
        <v>821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5" t="str">
        <f t="shared" si="33"/>
        <v>Low Sale</v>
      </c>
      <c r="S731" s="7">
        <f t="shared" si="34"/>
        <v>4.7619047619047628</v>
      </c>
      <c r="T731" s="7" t="str" cm="1">
        <f t="array" ref="T731">_xlfn.IFS(Q730&gt;=8,"Excellent",Q730&gt;=6,"Good",Q730&gt;=4,"Average",TRUE,"Poor")</f>
        <v>Good</v>
      </c>
      <c r="U731" s="9">
        <f t="shared" si="35"/>
        <v>1.2648113196321641E-3</v>
      </c>
      <c r="V731" s="7" t="str" cm="1">
        <f t="array" ref="V731">_xlfn.IFS(HOUR(L730)&lt;12,"Morning",HOUR(L730)&lt;17,"Afternoon",HOUR(L730)&lt;21,"Evening",TRUE,"Night")</f>
        <v>Afternoon</v>
      </c>
    </row>
    <row r="732" spans="1:22" x14ac:dyDescent="0.3">
      <c r="A732" t="s">
        <v>822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5" t="str">
        <f t="shared" si="33"/>
        <v>Low Sale</v>
      </c>
      <c r="S732" s="7">
        <f t="shared" si="34"/>
        <v>4.7619047619047628</v>
      </c>
      <c r="T732" s="7" t="str" cm="1">
        <f t="array" ref="T732">_xlfn.IFS(Q731&gt;=8,"Excellent",Q731&gt;=6,"Good",Q731&gt;=4,"Average",TRUE,"Poor")</f>
        <v>Excellent</v>
      </c>
      <c r="U732" s="9">
        <f t="shared" si="35"/>
        <v>1.1874999552972554E-3</v>
      </c>
      <c r="V732" s="7" t="str" cm="1">
        <f t="array" ref="V732">_xlfn.IFS(HOUR(L731)&lt;12,"Morning",HOUR(L731)&lt;17,"Afternoon",HOUR(L731)&lt;21,"Evening",TRUE,"Night")</f>
        <v>Morning</v>
      </c>
    </row>
    <row r="733" spans="1:22" x14ac:dyDescent="0.3">
      <c r="A733" t="s">
        <v>823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  <c r="R733" s="5" t="str">
        <f t="shared" si="33"/>
        <v>Low Sale</v>
      </c>
      <c r="S733" s="7">
        <f t="shared" si="34"/>
        <v>4.7619047619047628</v>
      </c>
      <c r="T733" s="7" t="str" cm="1">
        <f t="array" ref="T733">_xlfn.IFS(Q732&gt;=8,"Excellent",Q732&gt;=6,"Good",Q732&gt;=4,"Average",TRUE,"Poor")</f>
        <v>Average</v>
      </c>
      <c r="U733" s="9">
        <f t="shared" si="35"/>
        <v>2.902589826669741E-4</v>
      </c>
      <c r="V733" s="7" t="str" cm="1">
        <f t="array" ref="V733">_xlfn.IFS(HOUR(L732)&lt;12,"Morning",HOUR(L732)&lt;17,"Afternoon",HOUR(L732)&lt;21,"Evening",TRUE,"Night")</f>
        <v>Afternoon</v>
      </c>
    </row>
    <row r="734" spans="1:22" x14ac:dyDescent="0.3">
      <c r="A734" t="s">
        <v>824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  <c r="R734" s="5" t="str">
        <f t="shared" si="33"/>
        <v>Low Sale</v>
      </c>
      <c r="S734" s="7">
        <f t="shared" si="34"/>
        <v>4.7619047619047619</v>
      </c>
      <c r="T734" s="7" t="str" cm="1">
        <f t="array" ref="T734">_xlfn.IFS(Q733&gt;=8,"Excellent",Q733&gt;=6,"Good",Q733&gt;=4,"Average",TRUE,"Poor")</f>
        <v>Average</v>
      </c>
      <c r="U734" s="9">
        <f t="shared" si="35"/>
        <v>5.4618625770667169E-4</v>
      </c>
      <c r="V734" s="7" t="str" cm="1">
        <f t="array" ref="V734">_xlfn.IFS(HOUR(L733)&lt;12,"Morning",HOUR(L733)&lt;17,"Afternoon",HOUR(L733)&lt;21,"Evening",TRUE,"Night")</f>
        <v>Evening</v>
      </c>
    </row>
    <row r="735" spans="1:22" x14ac:dyDescent="0.3">
      <c r="A735" t="s">
        <v>825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  <c r="R735" s="5" t="str">
        <f t="shared" si="33"/>
        <v>Low Sale</v>
      </c>
      <c r="S735" s="7">
        <f t="shared" si="34"/>
        <v>4.7619047619047628</v>
      </c>
      <c r="T735" s="7" t="str" cm="1">
        <f t="array" ref="T735">_xlfn.IFS(Q734&gt;=8,"Excellent",Q734&gt;=6,"Good",Q734&gt;=4,"Average",TRUE,"Poor")</f>
        <v>Excellent</v>
      </c>
      <c r="U735" s="9">
        <f t="shared" si="35"/>
        <v>6.4046840933460904E-5</v>
      </c>
      <c r="V735" s="7" t="str" cm="1">
        <f t="array" ref="V735">_xlfn.IFS(HOUR(L734)&lt;12,"Morning",HOUR(L734)&lt;17,"Afternoon",HOUR(L734)&lt;21,"Evening",TRUE,"Night")</f>
        <v>Morning</v>
      </c>
    </row>
    <row r="736" spans="1:22" x14ac:dyDescent="0.3">
      <c r="A736" t="s">
        <v>826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  <c r="R736" s="5" t="str">
        <f t="shared" si="33"/>
        <v>Medium Sale</v>
      </c>
      <c r="S736" s="7">
        <f t="shared" si="34"/>
        <v>4.7619047619047628</v>
      </c>
      <c r="T736" s="7" t="str" cm="1">
        <f t="array" ref="T736">_xlfn.IFS(Q735&gt;=8,"Excellent",Q735&gt;=6,"Good",Q735&gt;=4,"Average",TRUE,"Poor")</f>
        <v>Excellent</v>
      </c>
      <c r="U736" s="9">
        <f t="shared" si="35"/>
        <v>1.7268588847825937E-3</v>
      </c>
      <c r="V736" s="7" t="str" cm="1">
        <f t="array" ref="V736">_xlfn.IFS(HOUR(L735)&lt;12,"Morning",HOUR(L735)&lt;17,"Afternoon",HOUR(L735)&lt;21,"Evening",TRUE,"Night")</f>
        <v>Morning</v>
      </c>
    </row>
    <row r="737" spans="1:22" x14ac:dyDescent="0.3">
      <c r="A737" t="s">
        <v>827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  <c r="R737" s="5" t="str">
        <f t="shared" si="33"/>
        <v>Low Sale</v>
      </c>
      <c r="S737" s="7">
        <f t="shared" si="34"/>
        <v>4.7619047619047619</v>
      </c>
      <c r="T737" s="7" t="str" cm="1">
        <f t="array" ref="T737">_xlfn.IFS(Q736&gt;=8,"Excellent",Q736&gt;=6,"Good",Q736&gt;=4,"Average",TRUE,"Poor")</f>
        <v>Good</v>
      </c>
      <c r="U737" s="9">
        <f t="shared" si="35"/>
        <v>1.7464955811906193E-4</v>
      </c>
      <c r="V737" s="7" t="str" cm="1">
        <f t="array" ref="V737">_xlfn.IFS(HOUR(L736)&lt;12,"Morning",HOUR(L736)&lt;17,"Afternoon",HOUR(L736)&lt;21,"Evening",TRUE,"Night")</f>
        <v>Evening</v>
      </c>
    </row>
    <row r="738" spans="1:22" x14ac:dyDescent="0.3">
      <c r="A738" t="s">
        <v>828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  <c r="R738" s="5" t="str">
        <f t="shared" si="33"/>
        <v>Medium Sale</v>
      </c>
      <c r="S738" s="7">
        <f t="shared" si="34"/>
        <v>4.7619047619047619</v>
      </c>
      <c r="T738" s="7" t="str" cm="1">
        <f t="array" ref="T738">_xlfn.IFS(Q737&gt;=8,"Excellent",Q737&gt;=6,"Good",Q737&gt;=4,"Average",TRUE,"Poor")</f>
        <v>Good</v>
      </c>
      <c r="U738" s="9">
        <f t="shared" si="35"/>
        <v>2.6642835606584376E-3</v>
      </c>
      <c r="V738" s="7" t="str" cm="1">
        <f t="array" ref="V738">_xlfn.IFS(HOUR(L737)&lt;12,"Morning",HOUR(L737)&lt;17,"Afternoon",HOUR(L737)&lt;21,"Evening",TRUE,"Night")</f>
        <v>Afternoon</v>
      </c>
    </row>
    <row r="739" spans="1:22" x14ac:dyDescent="0.3">
      <c r="A739" t="s">
        <v>829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  <c r="R739" s="5" t="str">
        <f t="shared" si="33"/>
        <v>Medium Sale</v>
      </c>
      <c r="S739" s="7">
        <f t="shared" si="34"/>
        <v>4.7619047619047619</v>
      </c>
      <c r="T739" s="7" t="str" cm="1">
        <f t="array" ref="T739">_xlfn.IFS(Q738&gt;=8,"Excellent",Q738&gt;=6,"Good",Q738&gt;=4,"Average",TRUE,"Poor")</f>
        <v>Excellent</v>
      </c>
      <c r="U739" s="9">
        <f t="shared" si="35"/>
        <v>1.8479301719075728E-3</v>
      </c>
      <c r="V739" s="7" t="str" cm="1">
        <f t="array" ref="V739">_xlfn.IFS(HOUR(L738)&lt;12,"Morning",HOUR(L738)&lt;17,"Afternoon",HOUR(L738)&lt;21,"Evening",TRUE,"Night")</f>
        <v>Afternoon</v>
      </c>
    </row>
    <row r="740" spans="1:22" x14ac:dyDescent="0.3">
      <c r="A740" t="s">
        <v>830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  <c r="R740" s="5" t="str">
        <f t="shared" si="33"/>
        <v>Medium Sale</v>
      </c>
      <c r="S740" s="7">
        <f t="shared" si="34"/>
        <v>4.7619047619047619</v>
      </c>
      <c r="T740" s="7" t="str" cm="1">
        <f t="array" ref="T740">_xlfn.IFS(Q739&gt;=8,"Excellent",Q739&gt;=6,"Good",Q739&gt;=4,"Average",TRUE,"Poor")</f>
        <v>Excellent</v>
      </c>
      <c r="U740" s="9">
        <f t="shared" si="35"/>
        <v>1.9103514585026209E-3</v>
      </c>
      <c r="V740" s="7" t="str" cm="1">
        <f t="array" ref="V740">_xlfn.IFS(HOUR(L739)&lt;12,"Morning",HOUR(L739)&lt;17,"Afternoon",HOUR(L739)&lt;21,"Evening",TRUE,"Night")</f>
        <v>Afternoon</v>
      </c>
    </row>
    <row r="741" spans="1:22" x14ac:dyDescent="0.3">
      <c r="A741" t="s">
        <v>831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298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5" t="str">
        <f t="shared" si="33"/>
        <v>Medium Sale</v>
      </c>
      <c r="S741" s="7">
        <f t="shared" si="34"/>
        <v>4.7619047619047619</v>
      </c>
      <c r="T741" s="7" t="str" cm="1">
        <f t="array" ref="T741">_xlfn.IFS(Q740&gt;=8,"Excellent",Q740&gt;=6,"Good",Q740&gt;=4,"Average",TRUE,"Poor")</f>
        <v>Good</v>
      </c>
      <c r="U741" s="9">
        <f t="shared" si="35"/>
        <v>2.3813720836010888E-3</v>
      </c>
      <c r="V741" s="7" t="str" cm="1">
        <f t="array" ref="V741">_xlfn.IFS(HOUR(L740)&lt;12,"Morning",HOUR(L740)&lt;17,"Afternoon",HOUR(L740)&lt;21,"Evening",TRUE,"Night")</f>
        <v>Evening</v>
      </c>
    </row>
    <row r="742" spans="1:22" x14ac:dyDescent="0.3">
      <c r="A742" t="s">
        <v>832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  <c r="R742" s="5" t="str">
        <f t="shared" si="33"/>
        <v>Medium Sale</v>
      </c>
      <c r="S742" s="7">
        <f t="shared" si="34"/>
        <v>4.7619047619047619</v>
      </c>
      <c r="T742" s="7" t="str" cm="1">
        <f t="array" ref="T742">_xlfn.IFS(Q741&gt;=8,"Excellent",Q741&gt;=6,"Good",Q741&gt;=4,"Average",TRUE,"Poor")</f>
        <v>Excellent</v>
      </c>
      <c r="U742" s="9">
        <f t="shared" si="35"/>
        <v>2.749267541470654E-3</v>
      </c>
      <c r="V742" s="7" t="str" cm="1">
        <f t="array" ref="V742">_xlfn.IFS(HOUR(L741)&lt;12,"Morning",HOUR(L741)&lt;17,"Afternoon",HOUR(L741)&lt;21,"Evening",TRUE,"Night")</f>
        <v>Morning</v>
      </c>
    </row>
    <row r="743" spans="1:22" x14ac:dyDescent="0.3">
      <c r="A743" t="s">
        <v>833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286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5" t="str">
        <f t="shared" si="33"/>
        <v>Low Sale</v>
      </c>
      <c r="S743" s="7">
        <f t="shared" si="34"/>
        <v>4.7619047619047619</v>
      </c>
      <c r="T743" s="7" t="str" cm="1">
        <f t="array" ref="T743">_xlfn.IFS(Q742&gt;=8,"Excellent",Q742&gt;=6,"Good",Q742&gt;=4,"Average",TRUE,"Poor")</f>
        <v>Excellent</v>
      </c>
      <c r="U743" s="9">
        <f t="shared" si="35"/>
        <v>1.2655590746278339E-3</v>
      </c>
      <c r="V743" s="7" t="str" cm="1">
        <f t="array" ref="V743">_xlfn.IFS(HOUR(L742)&lt;12,"Morning",HOUR(L742)&lt;17,"Afternoon",HOUR(L742)&lt;21,"Evening",TRUE,"Night")</f>
        <v>Afternoon</v>
      </c>
    </row>
    <row r="744" spans="1:22" x14ac:dyDescent="0.3">
      <c r="A744" t="s">
        <v>834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5" t="str">
        <f t="shared" si="33"/>
        <v>Low Sale</v>
      </c>
      <c r="S744" s="7">
        <f t="shared" si="34"/>
        <v>4.7619047619047628</v>
      </c>
      <c r="T744" s="7" t="str" cm="1">
        <f t="array" ref="T744">_xlfn.IFS(Q743&gt;=8,"Excellent",Q743&gt;=6,"Good",Q743&gt;=4,"Average",TRUE,"Poor")</f>
        <v>Excellent</v>
      </c>
      <c r="U744" s="9">
        <f t="shared" si="35"/>
        <v>2.7579154905510097E-4</v>
      </c>
      <c r="V744" s="7" t="str" cm="1">
        <f t="array" ref="V744">_xlfn.IFS(HOUR(L743)&lt;12,"Morning",HOUR(L743)&lt;17,"Afternoon",HOUR(L743)&lt;21,"Evening",TRUE,"Night")</f>
        <v>Afternoon</v>
      </c>
    </row>
    <row r="745" spans="1:22" x14ac:dyDescent="0.3">
      <c r="A745" t="s">
        <v>835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  <c r="R745" s="5" t="str">
        <f t="shared" si="33"/>
        <v>Low Sale</v>
      </c>
      <c r="S745" s="7">
        <f t="shared" si="34"/>
        <v>4.7619047619047628</v>
      </c>
      <c r="T745" s="7" t="str" cm="1">
        <f t="array" ref="T745">_xlfn.IFS(Q744&gt;=8,"Excellent",Q744&gt;=6,"Good",Q744&gt;=4,"Average",TRUE,"Poor")</f>
        <v>Excellent</v>
      </c>
      <c r="U745" s="9">
        <f t="shared" si="35"/>
        <v>4.6575382904201067E-4</v>
      </c>
      <c r="V745" s="7" t="str" cm="1">
        <f t="array" ref="V745">_xlfn.IFS(HOUR(L744)&lt;12,"Morning",HOUR(L744)&lt;17,"Afternoon",HOUR(L744)&lt;21,"Evening",TRUE,"Night")</f>
        <v>Afternoon</v>
      </c>
    </row>
    <row r="746" spans="1:22" x14ac:dyDescent="0.3">
      <c r="A746" t="s">
        <v>836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  <c r="R746" s="5" t="str">
        <f t="shared" si="33"/>
        <v>Low Sale</v>
      </c>
      <c r="S746" s="7">
        <f t="shared" si="34"/>
        <v>4.7619047619047628</v>
      </c>
      <c r="T746" s="7" t="str" cm="1">
        <f t="array" ref="T746">_xlfn.IFS(Q745&gt;=8,"Excellent",Q745&gt;=6,"Good",Q745&gt;=4,"Average",TRUE,"Poor")</f>
        <v>Excellent</v>
      </c>
      <c r="U746" s="9">
        <f t="shared" si="35"/>
        <v>2.450685720591007E-4</v>
      </c>
      <c r="V746" s="7" t="str" cm="1">
        <f t="array" ref="V746">_xlfn.IFS(HOUR(L745)&lt;12,"Morning",HOUR(L745)&lt;17,"Afternoon",HOUR(L745)&lt;21,"Evening",TRUE,"Night")</f>
        <v>Afternoon</v>
      </c>
    </row>
    <row r="747" spans="1:22" x14ac:dyDescent="0.3">
      <c r="A747" t="s">
        <v>837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  <c r="R747" s="5" t="str">
        <f t="shared" si="33"/>
        <v>Low Sale</v>
      </c>
      <c r="S747" s="7">
        <f t="shared" si="34"/>
        <v>4.761904761904761</v>
      </c>
      <c r="T747" s="7" t="str" cm="1">
        <f t="array" ref="T747">_xlfn.IFS(Q746&gt;=8,"Excellent",Q746&gt;=6,"Good",Q746&gt;=4,"Average",TRUE,"Poor")</f>
        <v>Average</v>
      </c>
      <c r="U747" s="9">
        <f t="shared" si="35"/>
        <v>8.237008943604902E-4</v>
      </c>
      <c r="V747" s="7" t="str" cm="1">
        <f t="array" ref="V747">_xlfn.IFS(HOUR(L746)&lt;12,"Morning",HOUR(L746)&lt;17,"Afternoon",HOUR(L746)&lt;21,"Evening",TRUE,"Night")</f>
        <v>Afternoon</v>
      </c>
    </row>
    <row r="748" spans="1:22" x14ac:dyDescent="0.3">
      <c r="A748" t="s">
        <v>838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  <c r="R748" s="5" t="str">
        <f t="shared" si="33"/>
        <v>Low Sale</v>
      </c>
      <c r="S748" s="7">
        <f t="shared" si="34"/>
        <v>4.7619047619047619</v>
      </c>
      <c r="T748" s="7" t="str" cm="1">
        <f t="array" ref="T748">_xlfn.IFS(Q747&gt;=8,"Excellent",Q747&gt;=6,"Good",Q747&gt;=4,"Average",TRUE,"Poor")</f>
        <v>Excellent</v>
      </c>
      <c r="U748" s="9">
        <f t="shared" si="35"/>
        <v>1.2490759536363291E-4</v>
      </c>
      <c r="V748" s="7" t="str" cm="1">
        <f t="array" ref="V748">_xlfn.IFS(HOUR(L747)&lt;12,"Morning",HOUR(L747)&lt;17,"Afternoon",HOUR(L747)&lt;21,"Evening",TRUE,"Night")</f>
        <v>Afternoon</v>
      </c>
    </row>
    <row r="749" spans="1:22" x14ac:dyDescent="0.3">
      <c r="A749" t="s">
        <v>839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243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  <c r="R749" s="5" t="str">
        <f t="shared" si="33"/>
        <v>Medium Sale</v>
      </c>
      <c r="S749" s="7">
        <f t="shared" si="34"/>
        <v>4.7619047619047628</v>
      </c>
      <c r="T749" s="7" t="str" cm="1">
        <f t="array" ref="T749">_xlfn.IFS(Q748&gt;=8,"Excellent",Q748&gt;=6,"Good",Q748&gt;=4,"Average",TRUE,"Poor")</f>
        <v>Average</v>
      </c>
      <c r="U749" s="9">
        <f t="shared" si="35"/>
        <v>2.120698189893226E-3</v>
      </c>
      <c r="V749" s="7" t="str" cm="1">
        <f t="array" ref="V749">_xlfn.IFS(HOUR(L748)&lt;12,"Morning",HOUR(L748)&lt;17,"Afternoon",HOUR(L748)&lt;21,"Evening",TRUE,"Night")</f>
        <v>Evening</v>
      </c>
    </row>
    <row r="750" spans="1:22" x14ac:dyDescent="0.3">
      <c r="A750" t="s">
        <v>840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  <c r="R750" s="5" t="str">
        <f t="shared" si="33"/>
        <v>Low Sale</v>
      </c>
      <c r="S750" s="7">
        <f t="shared" si="34"/>
        <v>4.7619047619047619</v>
      </c>
      <c r="T750" s="7" t="str" cm="1">
        <f t="array" ref="T750">_xlfn.IFS(Q749&gt;=8,"Excellent",Q749&gt;=6,"Good",Q749&gt;=4,"Average",TRUE,"Poor")</f>
        <v>Average</v>
      </c>
      <c r="U750" s="9">
        <f t="shared" si="35"/>
        <v>1.7117087183485873E-4</v>
      </c>
      <c r="V750" s="7" t="str" cm="1">
        <f t="array" ref="V750">_xlfn.IFS(HOUR(L749)&lt;12,"Morning",HOUR(L749)&lt;17,"Afternoon",HOUR(L749)&lt;21,"Evening",TRUE,"Night")</f>
        <v>Afternoon</v>
      </c>
    </row>
    <row r="751" spans="1:22" x14ac:dyDescent="0.3">
      <c r="A751" t="s">
        <v>841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  <c r="R751" s="5" t="str">
        <f t="shared" si="33"/>
        <v>Low Sale</v>
      </c>
      <c r="S751" s="7">
        <f t="shared" si="34"/>
        <v>4.7619047619047619</v>
      </c>
      <c r="T751" s="7" t="str" cm="1">
        <f t="array" ref="T751">_xlfn.IFS(Q750&gt;=8,"Excellent",Q750&gt;=6,"Good",Q750&gt;=4,"Average",TRUE,"Poor")</f>
        <v>Excellent</v>
      </c>
      <c r="U751" s="9">
        <f t="shared" si="35"/>
        <v>3.5960513074366046E-4</v>
      </c>
      <c r="V751" s="7" t="str" cm="1">
        <f t="array" ref="V751">_xlfn.IFS(HOUR(L750)&lt;12,"Morning",HOUR(L750)&lt;17,"Afternoon",HOUR(L750)&lt;21,"Evening",TRUE,"Night")</f>
        <v>Evening</v>
      </c>
    </row>
    <row r="752" spans="1:22" x14ac:dyDescent="0.3">
      <c r="A752" t="s">
        <v>842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357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5" t="str">
        <f t="shared" si="33"/>
        <v>Medium Sale</v>
      </c>
      <c r="S752" s="7">
        <f t="shared" si="34"/>
        <v>4.7619047619047628</v>
      </c>
      <c r="T752" s="7" t="str" cm="1">
        <f t="array" ref="T752">_xlfn.IFS(Q751&gt;=8,"Excellent",Q751&gt;=6,"Good",Q751&gt;=4,"Average",TRUE,"Poor")</f>
        <v>Excellent</v>
      </c>
      <c r="U752" s="9">
        <f t="shared" si="35"/>
        <v>1.8486129047297058E-3</v>
      </c>
      <c r="V752" s="7" t="str" cm="1">
        <f t="array" ref="V752">_xlfn.IFS(HOUR(L751)&lt;12,"Morning",HOUR(L751)&lt;17,"Afternoon",HOUR(L751)&lt;21,"Evening",TRUE,"Night")</f>
        <v>Evening</v>
      </c>
    </row>
    <row r="753" spans="1:22" x14ac:dyDescent="0.3">
      <c r="A753" t="s">
        <v>843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  <c r="R753" s="5" t="str">
        <f t="shared" si="33"/>
        <v>Low Sale</v>
      </c>
      <c r="S753" s="7">
        <f t="shared" si="34"/>
        <v>4.7619047619047628</v>
      </c>
      <c r="T753" s="7" t="str" cm="1">
        <f t="array" ref="T753">_xlfn.IFS(Q752&gt;=8,"Excellent",Q752&gt;=6,"Good",Q752&gt;=4,"Average",TRUE,"Poor")</f>
        <v>Average</v>
      </c>
      <c r="U753" s="9">
        <f t="shared" si="35"/>
        <v>2.902589826669741E-4</v>
      </c>
      <c r="V753" s="7" t="str" cm="1">
        <f t="array" ref="V753">_xlfn.IFS(HOUR(L752)&lt;12,"Morning",HOUR(L752)&lt;17,"Afternoon",HOUR(L752)&lt;21,"Evening",TRUE,"Night")</f>
        <v>Morning</v>
      </c>
    </row>
    <row r="754" spans="1:22" x14ac:dyDescent="0.3">
      <c r="A754" t="s">
        <v>844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  <c r="R754" s="5" t="str">
        <f t="shared" si="33"/>
        <v>Low Sale</v>
      </c>
      <c r="S754" s="7">
        <f t="shared" si="34"/>
        <v>4.7619047619047628</v>
      </c>
      <c r="T754" s="7" t="str" cm="1">
        <f t="array" ref="T754">_xlfn.IFS(Q753&gt;=8,"Excellent",Q753&gt;=6,"Good",Q753&gt;=4,"Average",TRUE,"Poor")</f>
        <v>Excellent</v>
      </c>
      <c r="U754" s="9">
        <f t="shared" si="35"/>
        <v>4.4345122351898824E-4</v>
      </c>
      <c r="V754" s="7" t="str" cm="1">
        <f t="array" ref="V754">_xlfn.IFS(HOUR(L753)&lt;12,"Morning",HOUR(L753)&lt;17,"Afternoon",HOUR(L753)&lt;21,"Evening",TRUE,"Night")</f>
        <v>Morning</v>
      </c>
    </row>
    <row r="755" spans="1:22" x14ac:dyDescent="0.3">
      <c r="A755" t="s">
        <v>845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  <c r="R755" s="5" t="str">
        <f t="shared" si="33"/>
        <v>Low Sale</v>
      </c>
      <c r="S755" s="7">
        <f t="shared" si="34"/>
        <v>4.7619047619047628</v>
      </c>
      <c r="T755" s="7" t="str" cm="1">
        <f t="array" ref="T755">_xlfn.IFS(Q754&gt;=8,"Excellent",Q754&gt;=6,"Good",Q754&gt;=4,"Average",TRUE,"Poor")</f>
        <v>Good</v>
      </c>
      <c r="U755" s="9">
        <f t="shared" si="35"/>
        <v>5.6634313150298935E-4</v>
      </c>
      <c r="V755" s="7" t="str" cm="1">
        <f t="array" ref="V755">_xlfn.IFS(HOUR(L754)&lt;12,"Morning",HOUR(L754)&lt;17,"Afternoon",HOUR(L754)&lt;21,"Evening",TRUE,"Night")</f>
        <v>Afternoon</v>
      </c>
    </row>
    <row r="756" spans="1:22" x14ac:dyDescent="0.3">
      <c r="A756" t="s">
        <v>846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  <c r="R756" s="5" t="str">
        <f t="shared" si="33"/>
        <v>Low Sale</v>
      </c>
      <c r="S756" s="7">
        <f t="shared" si="34"/>
        <v>4.7619047619047619</v>
      </c>
      <c r="T756" s="7" t="str" cm="1">
        <f t="array" ref="T756">_xlfn.IFS(Q755&gt;=8,"Excellent",Q755&gt;=6,"Good",Q755&gt;=4,"Average",TRUE,"Poor")</f>
        <v>Excellent</v>
      </c>
      <c r="U756" s="9">
        <f t="shared" si="35"/>
        <v>1.1912062191888366E-3</v>
      </c>
      <c r="V756" s="7" t="str" cm="1">
        <f t="array" ref="V756">_xlfn.IFS(HOUR(L755)&lt;12,"Morning",HOUR(L755)&lt;17,"Afternoon",HOUR(L755)&lt;21,"Evening",TRUE,"Night")</f>
        <v>Afternoon</v>
      </c>
    </row>
    <row r="757" spans="1:22" x14ac:dyDescent="0.3">
      <c r="A757" t="s">
        <v>847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  <c r="R757" s="5" t="str">
        <f t="shared" si="33"/>
        <v>Low Sale</v>
      </c>
      <c r="S757" s="7">
        <f t="shared" si="34"/>
        <v>4.761904761904761</v>
      </c>
      <c r="T757" s="7" t="str" cm="1">
        <f t="array" ref="T757">_xlfn.IFS(Q756&gt;=8,"Excellent",Q756&gt;=6,"Good",Q756&gt;=4,"Average",TRUE,"Poor")</f>
        <v>Good</v>
      </c>
      <c r="U757" s="9">
        <f t="shared" si="35"/>
        <v>8.2776478020652204E-4</v>
      </c>
      <c r="V757" s="7" t="str" cm="1">
        <f t="array" ref="V757">_xlfn.IFS(HOUR(L756)&lt;12,"Morning",HOUR(L756)&lt;17,"Afternoon",HOUR(L756)&lt;21,"Evening",TRUE,"Night")</f>
        <v>Evening</v>
      </c>
    </row>
    <row r="758" spans="1:22" x14ac:dyDescent="0.3">
      <c r="A758" t="s">
        <v>848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5" t="str">
        <f t="shared" si="33"/>
        <v>Medium Sale</v>
      </c>
      <c r="S758" s="7">
        <f t="shared" si="34"/>
        <v>4.7619047619047619</v>
      </c>
      <c r="T758" s="7" t="str" cm="1">
        <f t="array" ref="T758">_xlfn.IFS(Q757&gt;=8,"Excellent",Q757&gt;=6,"Good",Q757&gt;=4,"Average",TRUE,"Poor")</f>
        <v>Good</v>
      </c>
      <c r="U758" s="9">
        <f t="shared" si="35"/>
        <v>2.530402905346766E-3</v>
      </c>
      <c r="V758" s="7" t="str" cm="1">
        <f t="array" ref="V758">_xlfn.IFS(HOUR(L757)&lt;12,"Morning",HOUR(L757)&lt;17,"Afternoon",HOUR(L757)&lt;21,"Evening",TRUE,"Night")</f>
        <v>Afternoon</v>
      </c>
    </row>
    <row r="759" spans="1:22" x14ac:dyDescent="0.3">
      <c r="A759" t="s">
        <v>849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  <c r="R759" s="5" t="str">
        <f t="shared" si="33"/>
        <v>Low Sale</v>
      </c>
      <c r="S759" s="7">
        <f t="shared" si="34"/>
        <v>4.7619047619047619</v>
      </c>
      <c r="T759" s="7" t="str" cm="1">
        <f t="array" ref="T759">_xlfn.IFS(Q758&gt;=8,"Excellent",Q758&gt;=6,"Good",Q758&gt;=4,"Average",TRUE,"Poor")</f>
        <v>Average</v>
      </c>
      <c r="U759" s="9">
        <f t="shared" si="35"/>
        <v>9.2955699287792615E-4</v>
      </c>
      <c r="V759" s="7" t="str" cm="1">
        <f t="array" ref="V759">_xlfn.IFS(HOUR(L758)&lt;12,"Morning",HOUR(L758)&lt;17,"Afternoon",HOUR(L758)&lt;21,"Evening",TRUE,"Night")</f>
        <v>Afternoon</v>
      </c>
    </row>
    <row r="760" spans="1:22" x14ac:dyDescent="0.3">
      <c r="A760" t="s">
        <v>850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  <c r="R760" s="5" t="str">
        <f t="shared" si="33"/>
        <v>Medium Sale</v>
      </c>
      <c r="S760" s="7">
        <f t="shared" si="34"/>
        <v>4.7619047619047619</v>
      </c>
      <c r="T760" s="7" t="str" cm="1">
        <f t="array" ref="T760">_xlfn.IFS(Q759&gt;=8,"Excellent",Q759&gt;=6,"Good",Q759&gt;=4,"Average",TRUE,"Poor")</f>
        <v>Average</v>
      </c>
      <c r="U760" s="9">
        <f t="shared" si="35"/>
        <v>1.8827820569231413E-3</v>
      </c>
      <c r="V760" s="7" t="str" cm="1">
        <f t="array" ref="V760">_xlfn.IFS(HOUR(L759)&lt;12,"Morning",HOUR(L759)&lt;17,"Afternoon",HOUR(L759)&lt;21,"Evening",TRUE,"Night")</f>
        <v>Morning</v>
      </c>
    </row>
    <row r="761" spans="1:22" x14ac:dyDescent="0.3">
      <c r="A761" t="s">
        <v>851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  <c r="R761" s="5" t="str">
        <f t="shared" si="33"/>
        <v>Low Sale</v>
      </c>
      <c r="S761" s="7">
        <f t="shared" si="34"/>
        <v>4.7619047619047628</v>
      </c>
      <c r="T761" s="7" t="str" cm="1">
        <f t="array" ref="T761">_xlfn.IFS(Q760&gt;=8,"Excellent",Q760&gt;=6,"Good",Q760&gt;=4,"Average",TRUE,"Poor")</f>
        <v>Average</v>
      </c>
      <c r="U761" s="9">
        <f t="shared" si="35"/>
        <v>6.1283398558159303E-4</v>
      </c>
      <c r="V761" s="7" t="str" cm="1">
        <f t="array" ref="V761">_xlfn.IFS(HOUR(L760)&lt;12,"Morning",HOUR(L760)&lt;17,"Afternoon",HOUR(L760)&lt;21,"Evening",TRUE,"Night")</f>
        <v>Evening</v>
      </c>
    </row>
    <row r="762" spans="1:22" x14ac:dyDescent="0.3">
      <c r="A762" t="s">
        <v>852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  <c r="R762" s="5" t="str">
        <f t="shared" si="33"/>
        <v>Low Sale</v>
      </c>
      <c r="S762" s="7">
        <f t="shared" si="34"/>
        <v>4.7619047619047619</v>
      </c>
      <c r="T762" s="7" t="str" cm="1">
        <f t="array" ref="T762">_xlfn.IFS(Q761&gt;=8,"Excellent",Q761&gt;=6,"Good",Q761&gt;=4,"Average",TRUE,"Poor")</f>
        <v>Excellent</v>
      </c>
      <c r="U762" s="9">
        <f t="shared" si="35"/>
        <v>7.203156384374416E-4</v>
      </c>
      <c r="V762" s="7" t="str" cm="1">
        <f t="array" ref="V762">_xlfn.IFS(HOUR(L761)&lt;12,"Morning",HOUR(L761)&lt;17,"Afternoon",HOUR(L761)&lt;21,"Evening",TRUE,"Night")</f>
        <v>Afternoon</v>
      </c>
    </row>
    <row r="763" spans="1:22" x14ac:dyDescent="0.3">
      <c r="A763" t="s">
        <v>853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308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  <c r="R763" s="5" t="str">
        <f t="shared" si="33"/>
        <v>Medium Sale</v>
      </c>
      <c r="S763" s="7">
        <f t="shared" si="34"/>
        <v>4.7619047619047619</v>
      </c>
      <c r="T763" s="7" t="str" cm="1">
        <f t="array" ref="T763">_xlfn.IFS(Q762&gt;=8,"Excellent",Q762&gt;=6,"Good",Q762&gt;=4,"Average",TRUE,"Poor")</f>
        <v>Average</v>
      </c>
      <c r="U763" s="9">
        <f t="shared" si="35"/>
        <v>2.5098558985092298E-3</v>
      </c>
      <c r="V763" s="7" t="str" cm="1">
        <f t="array" ref="V763">_xlfn.IFS(HOUR(L762)&lt;12,"Morning",HOUR(L762)&lt;17,"Afternoon",HOUR(L762)&lt;21,"Evening",TRUE,"Night")</f>
        <v>Morning</v>
      </c>
    </row>
    <row r="764" spans="1:22" x14ac:dyDescent="0.3">
      <c r="A764" t="s">
        <v>854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  <c r="R764" s="5" t="str">
        <f t="shared" si="33"/>
        <v>Medium Sale</v>
      </c>
      <c r="S764" s="7">
        <f t="shared" si="34"/>
        <v>4.7619047619047619</v>
      </c>
      <c r="T764" s="7" t="str" cm="1">
        <f t="array" ref="T764">_xlfn.IFS(Q763&gt;=8,"Excellent",Q763&gt;=6,"Good",Q763&gt;=4,"Average",TRUE,"Poor")</f>
        <v>Average</v>
      </c>
      <c r="U764" s="9">
        <f t="shared" si="35"/>
        <v>2.3450246885941806E-3</v>
      </c>
      <c r="V764" s="7" t="str" cm="1">
        <f t="array" ref="V764">_xlfn.IFS(HOUR(L763)&lt;12,"Morning",HOUR(L763)&lt;17,"Afternoon",HOUR(L763)&lt;21,"Evening",TRUE,"Night")</f>
        <v>Afternoon</v>
      </c>
    </row>
    <row r="765" spans="1:22" x14ac:dyDescent="0.3">
      <c r="A765" t="s">
        <v>855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  <c r="R765" s="5" t="str">
        <f t="shared" si="33"/>
        <v>Medium Sale</v>
      </c>
      <c r="S765" s="7">
        <f t="shared" si="34"/>
        <v>4.7619047619047619</v>
      </c>
      <c r="T765" s="7" t="str" cm="1">
        <f t="array" ref="T765">_xlfn.IFS(Q764&gt;=8,"Excellent",Q764&gt;=6,"Good",Q764&gt;=4,"Average",TRUE,"Poor")</f>
        <v>Excellent</v>
      </c>
      <c r="U765" s="9">
        <f t="shared" si="35"/>
        <v>1.6614465782048662E-3</v>
      </c>
      <c r="V765" s="7" t="str" cm="1">
        <f t="array" ref="V765">_xlfn.IFS(HOUR(L764)&lt;12,"Morning",HOUR(L764)&lt;17,"Afternoon",HOUR(L764)&lt;21,"Evening",TRUE,"Night")</f>
        <v>Evening</v>
      </c>
    </row>
    <row r="766" spans="1:22" x14ac:dyDescent="0.3">
      <c r="A766" t="s">
        <v>856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  <c r="R766" s="5" t="str">
        <f t="shared" si="33"/>
        <v>Low Sale</v>
      </c>
      <c r="S766" s="7">
        <f t="shared" si="34"/>
        <v>4.7619047619047619</v>
      </c>
      <c r="T766" s="7" t="str" cm="1">
        <f t="array" ref="T766">_xlfn.IFS(Q765&gt;=8,"Excellent",Q765&gt;=6,"Good",Q765&gt;=4,"Average",TRUE,"Poor")</f>
        <v>Good</v>
      </c>
      <c r="U766" s="9">
        <f t="shared" si="35"/>
        <v>1.7377175877631907E-4</v>
      </c>
      <c r="V766" s="7" t="str" cm="1">
        <f t="array" ref="V766">_xlfn.IFS(HOUR(L765)&lt;12,"Morning",HOUR(L765)&lt;17,"Afternoon",HOUR(L765)&lt;21,"Evening",TRUE,"Night")</f>
        <v>Morning</v>
      </c>
    </row>
    <row r="767" spans="1:22" x14ac:dyDescent="0.3">
      <c r="A767" t="s">
        <v>857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  <c r="R767" s="5" t="str">
        <f t="shared" si="33"/>
        <v>Low Sale</v>
      </c>
      <c r="S767" s="7">
        <f t="shared" si="34"/>
        <v>4.7619047619047619</v>
      </c>
      <c r="T767" s="7" t="str" cm="1">
        <f t="array" ref="T767">_xlfn.IFS(Q766&gt;=8,"Excellent",Q766&gt;=6,"Good",Q766&gt;=4,"Average",TRUE,"Poor")</f>
        <v>Good</v>
      </c>
      <c r="U767" s="9">
        <f t="shared" si="35"/>
        <v>7.2174612625524476E-4</v>
      </c>
      <c r="V767" s="7" t="str" cm="1">
        <f t="array" ref="V767">_xlfn.IFS(HOUR(L766)&lt;12,"Morning",HOUR(L766)&lt;17,"Afternoon",HOUR(L766)&lt;21,"Evening",TRUE,"Night")</f>
        <v>Afternoon</v>
      </c>
    </row>
    <row r="768" spans="1:22" x14ac:dyDescent="0.3">
      <c r="A768" t="s">
        <v>858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5" t="str">
        <f t="shared" si="33"/>
        <v>Medium Sale</v>
      </c>
      <c r="S768" s="7">
        <f t="shared" si="34"/>
        <v>4.7619047619047619</v>
      </c>
      <c r="T768" s="7" t="str" cm="1">
        <f t="array" ref="T768">_xlfn.IFS(Q767&gt;=8,"Excellent",Q767&gt;=6,"Good",Q767&gt;=4,"Average",TRUE,"Poor")</f>
        <v>Average</v>
      </c>
      <c r="U768" s="9">
        <f t="shared" si="35"/>
        <v>2.4828066743180421E-3</v>
      </c>
      <c r="V768" s="7" t="str" cm="1">
        <f t="array" ref="V768">_xlfn.IFS(HOUR(L767)&lt;12,"Morning",HOUR(L767)&lt;17,"Afternoon",HOUR(L767)&lt;21,"Evening",TRUE,"Night")</f>
        <v>Evening</v>
      </c>
    </row>
    <row r="769" spans="1:22" x14ac:dyDescent="0.3">
      <c r="A769" t="s">
        <v>859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260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  <c r="R769" s="5" t="str">
        <f t="shared" si="33"/>
        <v>Low Sale</v>
      </c>
      <c r="S769" s="7">
        <f t="shared" si="34"/>
        <v>4.7619047619047628</v>
      </c>
      <c r="T769" s="7" t="str" cm="1">
        <f t="array" ref="T769">_xlfn.IFS(Q768&gt;=8,"Excellent",Q768&gt;=6,"Good",Q768&gt;=4,"Average",TRUE,"Poor")</f>
        <v>Excellent</v>
      </c>
      <c r="U769" s="9">
        <f t="shared" si="35"/>
        <v>7.4183797787802591E-4</v>
      </c>
      <c r="V769" s="7" t="str" cm="1">
        <f t="array" ref="V769">_xlfn.IFS(HOUR(L768)&lt;12,"Morning",HOUR(L768)&lt;17,"Afternoon",HOUR(L768)&lt;21,"Evening",TRUE,"Night")</f>
        <v>Evening</v>
      </c>
    </row>
    <row r="770" spans="1:22" x14ac:dyDescent="0.3">
      <c r="A770" t="s">
        <v>860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  <c r="R770" s="5" t="str">
        <f t="shared" si="33"/>
        <v>Low Sale</v>
      </c>
      <c r="S770" s="7">
        <f t="shared" si="34"/>
        <v>4.7619047619047628</v>
      </c>
      <c r="T770" s="7" t="str" cm="1">
        <f t="array" ref="T770">_xlfn.IFS(Q769&gt;=8,"Excellent",Q769&gt;=6,"Good",Q769&gt;=4,"Average",TRUE,"Poor")</f>
        <v>Good</v>
      </c>
      <c r="U770" s="9">
        <f t="shared" si="35"/>
        <v>2.6704606671444056E-4</v>
      </c>
      <c r="V770" s="7" t="str" cm="1">
        <f t="array" ref="V770">_xlfn.IFS(HOUR(L769)&lt;12,"Morning",HOUR(L769)&lt;17,"Afternoon",HOUR(L769)&lt;21,"Evening",TRUE,"Night")</f>
        <v>Afternoon</v>
      </c>
    </row>
    <row r="771" spans="1:22" x14ac:dyDescent="0.3">
      <c r="A771" t="s">
        <v>861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  <c r="R771" s="5" t="str">
        <f t="shared" si="33"/>
        <v>Low Sale</v>
      </c>
      <c r="S771" s="7">
        <f t="shared" si="34"/>
        <v>4.7619047619047628</v>
      </c>
      <c r="T771" s="7" t="str" cm="1">
        <f t="array" ref="T771">_xlfn.IFS(Q770&gt;=8,"Excellent",Q770&gt;=6,"Good",Q770&gt;=4,"Average",TRUE,"Poor")</f>
        <v>Good</v>
      </c>
      <c r="U771" s="9">
        <f t="shared" si="35"/>
        <v>1.2437441354063352E-3</v>
      </c>
      <c r="V771" s="7" t="str" cm="1">
        <f t="array" ref="V771">_xlfn.IFS(HOUR(L770)&lt;12,"Morning",HOUR(L770)&lt;17,"Afternoon",HOUR(L770)&lt;21,"Evening",TRUE,"Night")</f>
        <v>Evening</v>
      </c>
    </row>
    <row r="772" spans="1:22" x14ac:dyDescent="0.3">
      <c r="A772" t="s">
        <v>862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317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  <c r="R772" s="5" t="str">
        <f t="shared" ref="R772:R835" si="36">IF(J771&gt;=1000,"High Sale",IF(J771&gt;=500,"Medium Sale","Low Sale"))</f>
        <v>Low Sale</v>
      </c>
      <c r="S772" s="7">
        <f t="shared" ref="S772:S835" si="37">(P771/J771)*100</f>
        <v>4.7619047619047619</v>
      </c>
      <c r="T772" s="7" t="str" cm="1">
        <f t="array" ref="T772">_xlfn.IFS(Q771&gt;=8,"Excellent",Q771&gt;=6,"Good",Q771&gt;=4,"Average",TRUE,"Poor")</f>
        <v>Good</v>
      </c>
      <c r="U772" s="9">
        <f t="shared" ref="U772:U835" si="38">J771/SUM($J$2:$J$1001)</f>
        <v>2.2296103305668777E-4</v>
      </c>
      <c r="V772" s="7" t="str" cm="1">
        <f t="array" ref="V772">_xlfn.IFS(HOUR(L771)&lt;12,"Morning",HOUR(L771)&lt;17,"Afternoon",HOUR(L771)&lt;21,"Evening",TRUE,"Night")</f>
        <v>Evening</v>
      </c>
    </row>
    <row r="773" spans="1:22" x14ac:dyDescent="0.3">
      <c r="A773" t="s">
        <v>863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  <c r="R773" s="5" t="str">
        <f t="shared" si="36"/>
        <v>Low Sale</v>
      </c>
      <c r="S773" s="7">
        <f t="shared" si="37"/>
        <v>4.7619047619047628</v>
      </c>
      <c r="T773" s="7" t="str" cm="1">
        <f t="array" ref="T773">_xlfn.IFS(Q772&gt;=8,"Excellent",Q772&gt;=6,"Good",Q772&gt;=4,"Average",TRUE,"Poor")</f>
        <v>Average</v>
      </c>
      <c r="U773" s="9">
        <f t="shared" si="38"/>
        <v>1.2424436919356051E-3</v>
      </c>
      <c r="V773" s="7" t="str" cm="1">
        <f t="array" ref="V773">_xlfn.IFS(HOUR(L772)&lt;12,"Morning",HOUR(L772)&lt;17,"Afternoon",HOUR(L772)&lt;21,"Evening",TRUE,"Night")</f>
        <v>Morning</v>
      </c>
    </row>
    <row r="774" spans="1:22" x14ac:dyDescent="0.3">
      <c r="A774" t="s">
        <v>864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  <c r="R774" s="5" t="str">
        <f t="shared" si="36"/>
        <v>Medium Sale</v>
      </c>
      <c r="S774" s="7">
        <f t="shared" si="37"/>
        <v>4.7619047619047628</v>
      </c>
      <c r="T774" s="7" t="str" cm="1">
        <f t="array" ref="T774">_xlfn.IFS(Q773&gt;=8,"Excellent",Q773&gt;=6,"Good",Q773&gt;=4,"Average",TRUE,"Poor")</f>
        <v>Excellent</v>
      </c>
      <c r="U774" s="9">
        <f t="shared" si="38"/>
        <v>1.9542089145529956E-3</v>
      </c>
      <c r="V774" s="7" t="str" cm="1">
        <f t="array" ref="V774">_xlfn.IFS(HOUR(L773)&lt;12,"Morning",HOUR(L773)&lt;17,"Afternoon",HOUR(L773)&lt;21,"Evening",TRUE,"Night")</f>
        <v>Evening</v>
      </c>
    </row>
    <row r="775" spans="1:22" x14ac:dyDescent="0.3">
      <c r="A775" t="s">
        <v>865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  <c r="R775" s="5" t="str">
        <f t="shared" si="36"/>
        <v>Low Sale</v>
      </c>
      <c r="S775" s="7">
        <f t="shared" si="37"/>
        <v>4.7619047619047628</v>
      </c>
      <c r="T775" s="7" t="str" cm="1">
        <f t="array" ref="T775">_xlfn.IFS(Q774&gt;=8,"Excellent",Q774&gt;=6,"Good",Q774&gt;=4,"Average",TRUE,"Poor")</f>
        <v>Average</v>
      </c>
      <c r="U775" s="9">
        <f t="shared" si="38"/>
        <v>1.5473001525615254E-3</v>
      </c>
      <c r="V775" s="7" t="str" cm="1">
        <f t="array" ref="V775">_xlfn.IFS(HOUR(L774)&lt;12,"Morning",HOUR(L774)&lt;17,"Afternoon",HOUR(L774)&lt;21,"Evening",TRUE,"Night")</f>
        <v>Afternoon</v>
      </c>
    </row>
    <row r="776" spans="1:22" x14ac:dyDescent="0.3">
      <c r="A776" t="s">
        <v>866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  <c r="R776" s="5" t="str">
        <f t="shared" si="36"/>
        <v>Low Sale</v>
      </c>
      <c r="S776" s="7">
        <f t="shared" si="37"/>
        <v>4.7619047619047628</v>
      </c>
      <c r="T776" s="7" t="str" cm="1">
        <f t="array" ref="T776">_xlfn.IFS(Q775&gt;=8,"Excellent",Q775&gt;=6,"Good",Q775&gt;=4,"Average",TRUE,"Poor")</f>
        <v>Good</v>
      </c>
      <c r="U776" s="9">
        <f t="shared" si="38"/>
        <v>1.7042311683918888E-4</v>
      </c>
      <c r="V776" s="7" t="str" cm="1">
        <f t="array" ref="V776">_xlfn.IFS(HOUR(L775)&lt;12,"Morning",HOUR(L775)&lt;17,"Afternoon",HOUR(L775)&lt;21,"Evening",TRUE,"Night")</f>
        <v>Morning</v>
      </c>
    </row>
    <row r="777" spans="1:22" x14ac:dyDescent="0.3">
      <c r="A777" t="s">
        <v>867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  <c r="R777" s="5" t="str">
        <f t="shared" si="36"/>
        <v>Low Sale</v>
      </c>
      <c r="S777" s="7">
        <f t="shared" si="37"/>
        <v>4.7619047619047619</v>
      </c>
      <c r="T777" s="7" t="str" cm="1">
        <f t="array" ref="T777">_xlfn.IFS(Q776&gt;=8,"Excellent",Q776&gt;=6,"Good",Q776&gt;=4,"Average",TRUE,"Poor")</f>
        <v>Good</v>
      </c>
      <c r="U777" s="9">
        <f t="shared" si="38"/>
        <v>4.2687056926717857E-4</v>
      </c>
      <c r="V777" s="7" t="str" cm="1">
        <f t="array" ref="V777">_xlfn.IFS(HOUR(L776)&lt;12,"Morning",HOUR(L776)&lt;17,"Afternoon",HOUR(L776)&lt;21,"Evening",TRUE,"Night")</f>
        <v>Afternoon</v>
      </c>
    </row>
    <row r="778" spans="1:22" x14ac:dyDescent="0.3">
      <c r="A778" t="s">
        <v>868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  <c r="R778" s="5" t="str">
        <f t="shared" si="36"/>
        <v>Low Sale</v>
      </c>
      <c r="S778" s="7">
        <f t="shared" si="37"/>
        <v>4.7619047619047628</v>
      </c>
      <c r="T778" s="7" t="str" cm="1">
        <f t="array" ref="T778">_xlfn.IFS(Q777&gt;=8,"Excellent",Q777&gt;=6,"Good",Q777&gt;=4,"Average",TRUE,"Poor")</f>
        <v>Excellent</v>
      </c>
      <c r="U778" s="9">
        <f t="shared" si="38"/>
        <v>4.6913498206590907E-4</v>
      </c>
      <c r="V778" s="7" t="str" cm="1">
        <f t="array" ref="V778">_xlfn.IFS(HOUR(L777)&lt;12,"Morning",HOUR(L777)&lt;17,"Afternoon",HOUR(L777)&lt;21,"Evening",TRUE,"Night")</f>
        <v>Evening</v>
      </c>
    </row>
    <row r="779" spans="1:22" x14ac:dyDescent="0.3">
      <c r="A779" t="s">
        <v>869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  <c r="R779" s="5" t="str">
        <f t="shared" si="36"/>
        <v>Low Sale</v>
      </c>
      <c r="S779" s="7">
        <f t="shared" si="37"/>
        <v>4.7619047619047619</v>
      </c>
      <c r="T779" s="7" t="str" cm="1">
        <f t="array" ref="T779">_xlfn.IFS(Q778&gt;=8,"Excellent",Q778&gt;=6,"Good",Q778&gt;=4,"Average",TRUE,"Poor")</f>
        <v>Average</v>
      </c>
      <c r="U779" s="9">
        <f t="shared" si="38"/>
        <v>1.4863093537842804E-3</v>
      </c>
      <c r="V779" s="7" t="str" cm="1">
        <f t="array" ref="V779">_xlfn.IFS(HOUR(L778)&lt;12,"Morning",HOUR(L778)&lt;17,"Afternoon",HOUR(L778)&lt;21,"Evening",TRUE,"Night")</f>
        <v>Evening</v>
      </c>
    </row>
    <row r="780" spans="1:22" x14ac:dyDescent="0.3">
      <c r="A780" t="s">
        <v>870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298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  <c r="R780" s="5" t="str">
        <f t="shared" si="36"/>
        <v>Low Sale</v>
      </c>
      <c r="S780" s="7">
        <f t="shared" si="37"/>
        <v>4.761904761904761</v>
      </c>
      <c r="T780" s="7" t="str" cm="1">
        <f t="array" ref="T780">_xlfn.IFS(Q779&gt;=8,"Excellent",Q779&gt;=6,"Good",Q779&gt;=4,"Average",TRUE,"Poor")</f>
        <v>Excellent</v>
      </c>
      <c r="U780" s="9">
        <f t="shared" si="38"/>
        <v>3.035885282419584E-4</v>
      </c>
      <c r="V780" s="7" t="str" cm="1">
        <f t="array" ref="V780">_xlfn.IFS(HOUR(L779)&lt;12,"Morning",HOUR(L779)&lt;17,"Afternoon",HOUR(L779)&lt;21,"Evening",TRUE,"Night")</f>
        <v>Afternoon</v>
      </c>
    </row>
    <row r="781" spans="1:22" x14ac:dyDescent="0.3">
      <c r="A781" t="s">
        <v>871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308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  <c r="R781" s="5" t="str">
        <f t="shared" si="36"/>
        <v>Low Sale</v>
      </c>
      <c r="S781" s="7">
        <f t="shared" si="37"/>
        <v>4.7619047619047619</v>
      </c>
      <c r="T781" s="7" t="str" cm="1">
        <f t="array" ref="T781">_xlfn.IFS(Q780&gt;=8,"Excellent",Q780&gt;=6,"Good",Q780&gt;=4,"Average",TRUE,"Poor")</f>
        <v>Good</v>
      </c>
      <c r="U781" s="9">
        <f t="shared" si="38"/>
        <v>4.1045247044921014E-4</v>
      </c>
      <c r="V781" s="7" t="str" cm="1">
        <f t="array" ref="V781">_xlfn.IFS(HOUR(L780)&lt;12,"Morning",HOUR(L780)&lt;17,"Afternoon",HOUR(L780)&lt;21,"Evening",TRUE,"Night")</f>
        <v>Evening</v>
      </c>
    </row>
    <row r="782" spans="1:22" x14ac:dyDescent="0.3">
      <c r="A782" t="s">
        <v>872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456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5" t="str">
        <f t="shared" si="36"/>
        <v>Medium Sale</v>
      </c>
      <c r="S782" s="7">
        <f t="shared" si="37"/>
        <v>4.7619047619047619</v>
      </c>
      <c r="T782" s="7" t="str" cm="1">
        <f t="array" ref="T782">_xlfn.IFS(Q781&gt;=8,"Excellent",Q781&gt;=6,"Good",Q781&gt;=4,"Average",TRUE,"Poor")</f>
        <v>Average</v>
      </c>
      <c r="U782" s="9">
        <f t="shared" si="38"/>
        <v>2.5710742748938525E-3</v>
      </c>
      <c r="V782" s="7" t="str" cm="1">
        <f t="array" ref="V782">_xlfn.IFS(HOUR(L781)&lt;12,"Morning",HOUR(L781)&lt;17,"Afternoon",HOUR(L781)&lt;21,"Evening",TRUE,"Night")</f>
        <v>Evening</v>
      </c>
    </row>
    <row r="783" spans="1:22" x14ac:dyDescent="0.3">
      <c r="A783" t="s">
        <v>873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  <c r="R783" s="5" t="str">
        <f t="shared" si="36"/>
        <v>Low Sale</v>
      </c>
      <c r="S783" s="7">
        <f t="shared" si="37"/>
        <v>4.7619047619047628</v>
      </c>
      <c r="T783" s="7" t="str" cm="1">
        <f t="array" ref="T783">_xlfn.IFS(Q782&gt;=8,"Excellent",Q782&gt;=6,"Good",Q782&gt;=4,"Average",TRUE,"Poor")</f>
        <v>Excellent</v>
      </c>
      <c r="U783" s="9">
        <f t="shared" si="38"/>
        <v>5.6699335323835448E-4</v>
      </c>
      <c r="V783" s="7" t="str" cm="1">
        <f t="array" ref="V783">_xlfn.IFS(HOUR(L782)&lt;12,"Morning",HOUR(L782)&lt;17,"Afternoon",HOUR(L782)&lt;21,"Evening",TRUE,"Night")</f>
        <v>Evening</v>
      </c>
    </row>
    <row r="784" spans="1:22" x14ac:dyDescent="0.3">
      <c r="A784" t="s">
        <v>874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5" t="str">
        <f t="shared" si="36"/>
        <v>Low Sale</v>
      </c>
      <c r="S784" s="7">
        <f t="shared" si="37"/>
        <v>4.7619047619047628</v>
      </c>
      <c r="T784" s="7" t="str" cm="1">
        <f t="array" ref="T784">_xlfn.IFS(Q783&gt;=8,"Excellent",Q783&gt;=6,"Good",Q783&gt;=4,"Average",TRUE,"Poor")</f>
        <v>Good</v>
      </c>
      <c r="U784" s="9">
        <f t="shared" si="38"/>
        <v>1.23230023286391E-3</v>
      </c>
      <c r="V784" s="7" t="str" cm="1">
        <f t="array" ref="V784">_xlfn.IFS(HOUR(L783)&lt;12,"Morning",HOUR(L783)&lt;17,"Afternoon",HOUR(L783)&lt;21,"Evening",TRUE,"Night")</f>
        <v>Afternoon</v>
      </c>
    </row>
    <row r="785" spans="1:22" x14ac:dyDescent="0.3">
      <c r="A785" t="s">
        <v>875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5" t="str">
        <f t="shared" si="36"/>
        <v>Low Sale</v>
      </c>
      <c r="S785" s="7">
        <f t="shared" si="37"/>
        <v>4.761904761904761</v>
      </c>
      <c r="T785" s="7" t="str" cm="1">
        <f t="array" ref="T785">_xlfn.IFS(Q784&gt;=8,"Excellent",Q784&gt;=6,"Good",Q784&gt;=4,"Average",TRUE,"Poor")</f>
        <v>Average</v>
      </c>
      <c r="U785" s="9">
        <f t="shared" si="38"/>
        <v>9.9548947684394585E-5</v>
      </c>
      <c r="V785" s="7" t="str" cm="1">
        <f t="array" ref="V785">_xlfn.IFS(HOUR(L784)&lt;12,"Morning",HOUR(L784)&lt;17,"Afternoon",HOUR(L784)&lt;21,"Evening",TRUE,"Night")</f>
        <v>Afternoon</v>
      </c>
    </row>
    <row r="786" spans="1:22" x14ac:dyDescent="0.3">
      <c r="A786" t="s">
        <v>876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  <c r="R786" s="5" t="str">
        <f t="shared" si="36"/>
        <v>Low Sale</v>
      </c>
      <c r="S786" s="7">
        <f t="shared" si="37"/>
        <v>4.7619047619047619</v>
      </c>
      <c r="T786" s="7" t="str" cm="1">
        <f t="array" ref="T786">_xlfn.IFS(Q785&gt;=8,"Excellent",Q785&gt;=6,"Good",Q785&gt;=4,"Average",TRUE,"Poor")</f>
        <v>Excellent</v>
      </c>
      <c r="U786" s="9">
        <f t="shared" si="38"/>
        <v>1.1446503429366965E-3</v>
      </c>
      <c r="V786" s="7" t="str" cm="1">
        <f t="array" ref="V786">_xlfn.IFS(HOUR(L785)&lt;12,"Morning",HOUR(L785)&lt;17,"Afternoon",HOUR(L785)&lt;21,"Evening",TRUE,"Night")</f>
        <v>Evening</v>
      </c>
    </row>
    <row r="787" spans="1:22" x14ac:dyDescent="0.3">
      <c r="A787" t="s">
        <v>877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  <c r="R787" s="5" t="str">
        <f t="shared" si="36"/>
        <v>Low Sale</v>
      </c>
      <c r="S787" s="7">
        <f t="shared" si="37"/>
        <v>4.7619047619047619</v>
      </c>
      <c r="T787" s="7" t="str" cm="1">
        <f t="array" ref="T787">_xlfn.IFS(Q786&gt;=8,"Excellent",Q786&gt;=6,"Good",Q786&gt;=4,"Average",TRUE,"Poor")</f>
        <v>Average</v>
      </c>
      <c r="U787" s="9">
        <f t="shared" si="38"/>
        <v>1.6515632078273169E-4</v>
      </c>
      <c r="V787" s="7" t="str" cm="1">
        <f t="array" ref="V787">_xlfn.IFS(HOUR(L786)&lt;12,"Morning",HOUR(L786)&lt;17,"Afternoon",HOUR(L786)&lt;21,"Evening",TRUE,"Night")</f>
        <v>Afternoon</v>
      </c>
    </row>
    <row r="788" spans="1:22" x14ac:dyDescent="0.3">
      <c r="A788" t="s">
        <v>878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456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  <c r="R788" s="5" t="str">
        <f t="shared" si="36"/>
        <v>Medium Sale</v>
      </c>
      <c r="S788" s="7">
        <f t="shared" si="37"/>
        <v>4.7619047619047628</v>
      </c>
      <c r="T788" s="7" t="str" cm="1">
        <f t="array" ref="T788">_xlfn.IFS(Q787&gt;=8,"Excellent",Q787&gt;=6,"Good",Q787&gt;=4,"Average",TRUE,"Poor")</f>
        <v>Excellent</v>
      </c>
      <c r="U788" s="9">
        <f t="shared" si="38"/>
        <v>1.6972737958234824E-3</v>
      </c>
      <c r="V788" s="7" t="str" cm="1">
        <f t="array" ref="V788">_xlfn.IFS(HOUR(L787)&lt;12,"Morning",HOUR(L787)&lt;17,"Afternoon",HOUR(L787)&lt;21,"Evening",TRUE,"Night")</f>
        <v>Afternoon</v>
      </c>
    </row>
    <row r="789" spans="1:22" x14ac:dyDescent="0.3">
      <c r="A789" t="s">
        <v>879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5" t="str">
        <f t="shared" si="36"/>
        <v>Medium Sale</v>
      </c>
      <c r="S789" s="7">
        <f t="shared" si="37"/>
        <v>4.7619047619047628</v>
      </c>
      <c r="T789" s="7" t="str" cm="1">
        <f t="array" ref="T789">_xlfn.IFS(Q788&gt;=8,"Excellent",Q788&gt;=6,"Good",Q788&gt;=4,"Average",TRUE,"Poor")</f>
        <v>Average</v>
      </c>
      <c r="U789" s="9">
        <f t="shared" si="38"/>
        <v>1.8697776222158394E-3</v>
      </c>
      <c r="V789" s="7" t="str" cm="1">
        <f t="array" ref="V789">_xlfn.IFS(HOUR(L788)&lt;12,"Morning",HOUR(L788)&lt;17,"Afternoon",HOUR(L788)&lt;21,"Evening",TRUE,"Night")</f>
        <v>Morning</v>
      </c>
    </row>
    <row r="790" spans="1:22" x14ac:dyDescent="0.3">
      <c r="A790" t="s">
        <v>880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286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  <c r="R790" s="5" t="str">
        <f t="shared" si="36"/>
        <v>Low Sale</v>
      </c>
      <c r="S790" s="7">
        <f t="shared" si="37"/>
        <v>4.7619047619047628</v>
      </c>
      <c r="T790" s="7" t="str" cm="1">
        <f t="array" ref="T790">_xlfn.IFS(Q789&gt;=8,"Excellent",Q789&gt;=6,"Good",Q789&gt;=4,"Average",TRUE,"Poor")</f>
        <v>Excellent</v>
      </c>
      <c r="U790" s="9">
        <f t="shared" si="38"/>
        <v>1.7864842179155719E-4</v>
      </c>
      <c r="V790" s="7" t="str" cm="1">
        <f t="array" ref="V790">_xlfn.IFS(HOUR(L789)&lt;12,"Morning",HOUR(L789)&lt;17,"Afternoon",HOUR(L789)&lt;21,"Evening",TRUE,"Night")</f>
        <v>Morning</v>
      </c>
    </row>
    <row r="791" spans="1:22" x14ac:dyDescent="0.3">
      <c r="A791" t="s">
        <v>881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5" t="str">
        <f t="shared" si="36"/>
        <v>Low Sale</v>
      </c>
      <c r="S791" s="7">
        <f t="shared" si="37"/>
        <v>4.761904761904761</v>
      </c>
      <c r="T791" s="7" t="str" cm="1">
        <f t="array" ref="T791">_xlfn.IFS(Q790&gt;=8,"Excellent",Q790&gt;=6,"Good",Q790&gt;=4,"Average",TRUE,"Poor")</f>
        <v>Average</v>
      </c>
      <c r="U791" s="9">
        <f t="shared" si="38"/>
        <v>5.8978362506290072E-4</v>
      </c>
      <c r="V791" s="7" t="str" cm="1">
        <f t="array" ref="V791">_xlfn.IFS(HOUR(L790)&lt;12,"Morning",HOUR(L790)&lt;17,"Afternoon",HOUR(L790)&lt;21,"Evening",TRUE,"Night")</f>
        <v>Morning</v>
      </c>
    </row>
    <row r="792" spans="1:22" x14ac:dyDescent="0.3">
      <c r="A792" t="s">
        <v>882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  <c r="R792" s="5" t="str">
        <f t="shared" si="36"/>
        <v>Low Sale</v>
      </c>
      <c r="S792" s="7">
        <f t="shared" si="37"/>
        <v>4.7619047619047628</v>
      </c>
      <c r="T792" s="7" t="str" cm="1">
        <f t="array" ref="T792">_xlfn.IFS(Q791&gt;=8,"Excellent",Q791&gt;=6,"Good",Q791&gt;=4,"Average",TRUE,"Poor")</f>
        <v>Excellent</v>
      </c>
      <c r="U792" s="9">
        <f t="shared" si="38"/>
        <v>1.3406596850625012E-3</v>
      </c>
      <c r="V792" s="7" t="str" cm="1">
        <f t="array" ref="V792">_xlfn.IFS(HOUR(L791)&lt;12,"Morning",HOUR(L791)&lt;17,"Afternoon",HOUR(L791)&lt;21,"Evening",TRUE,"Night")</f>
        <v>Afternoon</v>
      </c>
    </row>
    <row r="793" spans="1:22" x14ac:dyDescent="0.3">
      <c r="A793" t="s">
        <v>883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  <c r="R793" s="5" t="str">
        <f t="shared" si="36"/>
        <v>Low Sale</v>
      </c>
      <c r="S793" s="7">
        <f t="shared" si="37"/>
        <v>4.7619047619047628</v>
      </c>
      <c r="T793" s="7" t="str" cm="1">
        <f t="array" ref="T793">_xlfn.IFS(Q792&gt;=8,"Excellent",Q792&gt;=6,"Good",Q792&gt;=4,"Average",TRUE,"Poor")</f>
        <v>Average</v>
      </c>
      <c r="U793" s="9">
        <f t="shared" si="38"/>
        <v>1.5088395369146807E-4</v>
      </c>
      <c r="V793" s="7" t="str" cm="1">
        <f t="array" ref="V793">_xlfn.IFS(HOUR(L792)&lt;12,"Morning",HOUR(L792)&lt;17,"Afternoon",HOUR(L792)&lt;21,"Evening",TRUE,"Night")</f>
        <v>Evening</v>
      </c>
    </row>
    <row r="794" spans="1:22" x14ac:dyDescent="0.3">
      <c r="A794" t="s">
        <v>884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5" t="str">
        <f t="shared" si="36"/>
        <v>Low Sale</v>
      </c>
      <c r="S794" s="7">
        <f t="shared" si="37"/>
        <v>4.7619047619047619</v>
      </c>
      <c r="T794" s="7" t="str" cm="1">
        <f t="array" ref="T794">_xlfn.IFS(Q793&gt;=8,"Excellent",Q793&gt;=6,"Good",Q793&gt;=4,"Average",TRUE,"Poor")</f>
        <v>Excellent</v>
      </c>
      <c r="U794" s="9">
        <f t="shared" si="38"/>
        <v>8.9145399918553212E-4</v>
      </c>
      <c r="V794" s="7" t="str" cm="1">
        <f t="array" ref="V794">_xlfn.IFS(HOUR(L793)&lt;12,"Morning",HOUR(L793)&lt;17,"Afternoon",HOUR(L793)&lt;21,"Evening",TRUE,"Night")</f>
        <v>Evening</v>
      </c>
    </row>
    <row r="795" spans="1:22" x14ac:dyDescent="0.3">
      <c r="A795" t="s">
        <v>885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5" t="str">
        <f t="shared" si="36"/>
        <v>High Sale</v>
      </c>
      <c r="S795" s="7">
        <f t="shared" si="37"/>
        <v>4.7619047619047628</v>
      </c>
      <c r="T795" s="7" t="str" cm="1">
        <f t="array" ref="T795">_xlfn.IFS(Q794&gt;=8,"Excellent",Q794&gt;=6,"Good",Q794&gt;=4,"Average",TRUE,"Poor")</f>
        <v>Average</v>
      </c>
      <c r="U795" s="9">
        <f t="shared" si="38"/>
        <v>3.165604518624918E-3</v>
      </c>
      <c r="V795" s="7" t="str" cm="1">
        <f t="array" ref="V795">_xlfn.IFS(HOUR(L794)&lt;12,"Morning",HOUR(L794)&lt;17,"Afternoon",HOUR(L794)&lt;21,"Evening",TRUE,"Night")</f>
        <v>Afternoon</v>
      </c>
    </row>
    <row r="796" spans="1:22" x14ac:dyDescent="0.3">
      <c r="A796" t="s">
        <v>886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317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  <c r="R796" s="5" t="str">
        <f t="shared" si="36"/>
        <v>Medium Sale</v>
      </c>
      <c r="S796" s="7">
        <f t="shared" si="37"/>
        <v>4.7619047619047619</v>
      </c>
      <c r="T796" s="7" t="str" cm="1">
        <f t="array" ref="T796">_xlfn.IFS(Q795&gt;=8,"Excellent",Q795&gt;=6,"Good",Q795&gt;=4,"Average",TRUE,"Poor")</f>
        <v>Excellent</v>
      </c>
      <c r="U796" s="9">
        <f t="shared" si="38"/>
        <v>2.1073686443182416E-3</v>
      </c>
      <c r="V796" s="7" t="str" cm="1">
        <f t="array" ref="V796">_xlfn.IFS(HOUR(L795)&lt;12,"Morning",HOUR(L795)&lt;17,"Afternoon",HOUR(L795)&lt;21,"Evening",TRUE,"Night")</f>
        <v>Afternoon</v>
      </c>
    </row>
    <row r="797" spans="1:22" x14ac:dyDescent="0.3">
      <c r="A797" t="s">
        <v>887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  <c r="R797" s="5" t="str">
        <f t="shared" si="36"/>
        <v>Low Sale</v>
      </c>
      <c r="S797" s="7">
        <f t="shared" si="37"/>
        <v>4.7619047619047619</v>
      </c>
      <c r="T797" s="7" t="str" cm="1">
        <f t="array" ref="T797">_xlfn.IFS(Q796&gt;=8,"Excellent",Q796&gt;=6,"Good",Q796&gt;=4,"Average",TRUE,"Poor")</f>
        <v>Good</v>
      </c>
      <c r="U797" s="9">
        <f t="shared" si="38"/>
        <v>3.030683508536663E-4</v>
      </c>
      <c r="V797" s="7" t="str" cm="1">
        <f t="array" ref="V797">_xlfn.IFS(HOUR(L796)&lt;12,"Morning",HOUR(L796)&lt;17,"Afternoon",HOUR(L796)&lt;21,"Evening",TRUE,"Night")</f>
        <v>Afternoon</v>
      </c>
    </row>
    <row r="798" spans="1:22" x14ac:dyDescent="0.3">
      <c r="A798" t="s">
        <v>888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  <c r="R798" s="5" t="str">
        <f t="shared" si="36"/>
        <v>Low Sale</v>
      </c>
      <c r="S798" s="7">
        <f t="shared" si="37"/>
        <v>4.7619047619047619</v>
      </c>
      <c r="T798" s="7" t="str" cm="1">
        <f t="array" ref="T798">_xlfn.IFS(Q797&gt;=8,"Excellent",Q797&gt;=6,"Good",Q797&gt;=4,"Average",TRUE,"Poor")</f>
        <v>Average</v>
      </c>
      <c r="U798" s="9">
        <f t="shared" si="38"/>
        <v>1.7673026767223022E-4</v>
      </c>
      <c r="V798" s="7" t="str" cm="1">
        <f t="array" ref="V798">_xlfn.IFS(HOUR(L797)&lt;12,"Morning",HOUR(L797)&lt;17,"Afternoon",HOUR(L797)&lt;21,"Evening",TRUE,"Night")</f>
        <v>Afternoon</v>
      </c>
    </row>
    <row r="799" spans="1:22" x14ac:dyDescent="0.3">
      <c r="A799" t="s">
        <v>889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  <c r="R799" s="5" t="str">
        <f t="shared" si="36"/>
        <v>Low Sale</v>
      </c>
      <c r="S799" s="7">
        <f t="shared" si="37"/>
        <v>4.7619047619047619</v>
      </c>
      <c r="T799" s="7" t="str" cm="1">
        <f t="array" ref="T799">_xlfn.IFS(Q798&gt;=8,"Excellent",Q798&gt;=6,"Good",Q798&gt;=4,"Average",TRUE,"Poor")</f>
        <v>Average</v>
      </c>
      <c r="U799" s="9">
        <f t="shared" si="38"/>
        <v>1.9789498515836374E-4</v>
      </c>
      <c r="V799" s="7" t="str" cm="1">
        <f t="array" ref="V799">_xlfn.IFS(HOUR(L798)&lt;12,"Morning",HOUR(L798)&lt;17,"Afternoon",HOUR(L798)&lt;21,"Evening",TRUE,"Night")</f>
        <v>Afternoon</v>
      </c>
    </row>
    <row r="800" spans="1:22" x14ac:dyDescent="0.3">
      <c r="A800" t="s">
        <v>890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5" t="str">
        <f t="shared" si="36"/>
        <v>Low Sale</v>
      </c>
      <c r="S800" s="7">
        <f t="shared" si="37"/>
        <v>4.7619047619047619</v>
      </c>
      <c r="T800" s="7" t="str" cm="1">
        <f t="array" ref="T800">_xlfn.IFS(Q799&gt;=8,"Excellent",Q799&gt;=6,"Good",Q799&gt;=4,"Average",TRUE,"Poor")</f>
        <v>Excellent</v>
      </c>
      <c r="U800" s="9">
        <f t="shared" si="38"/>
        <v>7.9619651495454699E-4</v>
      </c>
      <c r="V800" s="7" t="str" cm="1">
        <f t="array" ref="V800">_xlfn.IFS(HOUR(L799)&lt;12,"Morning",HOUR(L799)&lt;17,"Afternoon",HOUR(L799)&lt;21,"Evening",TRUE,"Night")</f>
        <v>Afternoon</v>
      </c>
    </row>
    <row r="801" spans="1:22" x14ac:dyDescent="0.3">
      <c r="A801" t="s">
        <v>891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  <c r="R801" s="5" t="str">
        <f t="shared" si="36"/>
        <v>Low Sale</v>
      </c>
      <c r="S801" s="7">
        <f t="shared" si="37"/>
        <v>4.7619047619047628</v>
      </c>
      <c r="T801" s="7" t="str" cm="1">
        <f t="array" ref="T801">_xlfn.IFS(Q800&gt;=8,"Excellent",Q800&gt;=6,"Good",Q800&gt;=4,"Average",TRUE,"Poor")</f>
        <v>Excellent</v>
      </c>
      <c r="U801" s="9">
        <f t="shared" si="38"/>
        <v>3.016378630358631E-4</v>
      </c>
      <c r="V801" s="7" t="str" cm="1">
        <f t="array" ref="V801">_xlfn.IFS(HOUR(L800)&lt;12,"Morning",HOUR(L800)&lt;17,"Afternoon",HOUR(L800)&lt;21,"Evening",TRUE,"Night")</f>
        <v>Morning</v>
      </c>
    </row>
    <row r="802" spans="1:22" x14ac:dyDescent="0.3">
      <c r="A802" t="s">
        <v>892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  <c r="R802" s="5" t="str">
        <f t="shared" si="36"/>
        <v>Low Sale</v>
      </c>
      <c r="S802" s="7">
        <f t="shared" si="37"/>
        <v>4.7619047619047619</v>
      </c>
      <c r="T802" s="7" t="str" cm="1">
        <f t="array" ref="T802">_xlfn.IFS(Q801&gt;=8,"Excellent",Q801&gt;=6,"Good",Q801&gt;=4,"Average",TRUE,"Poor")</f>
        <v>Excellent</v>
      </c>
      <c r="U802" s="9">
        <f t="shared" si="38"/>
        <v>1.4091930559699812E-3</v>
      </c>
      <c r="V802" s="7" t="str" cm="1">
        <f t="array" ref="V802">_xlfn.IFS(HOUR(L801)&lt;12,"Morning",HOUR(L801)&lt;17,"Afternoon",HOUR(L801)&lt;21,"Evening",TRUE,"Night")</f>
        <v>Evening</v>
      </c>
    </row>
    <row r="803" spans="1:22" x14ac:dyDescent="0.3">
      <c r="A803" t="s">
        <v>893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  <c r="R803" s="5" t="str">
        <f t="shared" si="36"/>
        <v>Low Sale</v>
      </c>
      <c r="S803" s="7">
        <f t="shared" si="37"/>
        <v>4.7619047619047619</v>
      </c>
      <c r="T803" s="7" t="str" cm="1">
        <f t="array" ref="T803">_xlfn.IFS(Q802&gt;=8,"Excellent",Q802&gt;=6,"Good",Q802&gt;=4,"Average",TRUE,"Poor")</f>
        <v>Good</v>
      </c>
      <c r="U803" s="9">
        <f t="shared" si="38"/>
        <v>4.4884806392251844E-4</v>
      </c>
      <c r="V803" s="7" t="str" cm="1">
        <f t="array" ref="V803">_xlfn.IFS(HOUR(L802)&lt;12,"Morning",HOUR(L802)&lt;17,"Afternoon",HOUR(L802)&lt;21,"Evening",TRUE,"Night")</f>
        <v>Afternoon</v>
      </c>
    </row>
    <row r="804" spans="1:22" x14ac:dyDescent="0.3">
      <c r="A804" t="s">
        <v>894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  <c r="R804" s="5" t="str">
        <f t="shared" si="36"/>
        <v>Low Sale</v>
      </c>
      <c r="S804" s="7">
        <f t="shared" si="37"/>
        <v>4.7619047619047619</v>
      </c>
      <c r="T804" s="7" t="str" cm="1">
        <f t="array" ref="T804">_xlfn.IFS(Q803&gt;=8,"Excellent",Q803&gt;=6,"Good",Q803&gt;=4,"Average",TRUE,"Poor")</f>
        <v>Average</v>
      </c>
      <c r="U804" s="9">
        <f t="shared" si="38"/>
        <v>7.8546785632102318E-4</v>
      </c>
      <c r="V804" s="7" t="str" cm="1">
        <f t="array" ref="V804">_xlfn.IFS(HOUR(L803)&lt;12,"Morning",HOUR(L803)&lt;17,"Afternoon",HOUR(L803)&lt;21,"Evening",TRUE,"Night")</f>
        <v>Evening</v>
      </c>
    </row>
    <row r="805" spans="1:22" x14ac:dyDescent="0.3">
      <c r="A805" t="s">
        <v>895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  <c r="R805" s="5" t="str">
        <f t="shared" si="36"/>
        <v>Low Sale</v>
      </c>
      <c r="S805" s="7">
        <f t="shared" si="37"/>
        <v>4.7619047619047619</v>
      </c>
      <c r="T805" s="7" t="str" cm="1">
        <f t="array" ref="T805">_xlfn.IFS(Q804&gt;=8,"Excellent",Q804&gt;=6,"Good",Q804&gt;=4,"Average",TRUE,"Poor")</f>
        <v>Good</v>
      </c>
      <c r="U805" s="9">
        <f t="shared" si="38"/>
        <v>1.5336454961188586E-3</v>
      </c>
      <c r="V805" s="7" t="str" cm="1">
        <f t="array" ref="V805">_xlfn.IFS(HOUR(L804)&lt;12,"Morning",HOUR(L804)&lt;17,"Afternoon",HOUR(L804)&lt;21,"Evening",TRUE,"Night")</f>
        <v>Afternoon</v>
      </c>
    </row>
    <row r="806" spans="1:22" x14ac:dyDescent="0.3">
      <c r="A806" t="s">
        <v>896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  <c r="R806" s="5" t="str">
        <f t="shared" si="36"/>
        <v>Low Sale</v>
      </c>
      <c r="S806" s="7">
        <f t="shared" si="37"/>
        <v>4.7619047619047619</v>
      </c>
      <c r="T806" s="7" t="str" cm="1">
        <f t="array" ref="T806">_xlfn.IFS(Q805&gt;=8,"Excellent",Q805&gt;=6,"Good",Q805&gt;=4,"Average",TRUE,"Poor")</f>
        <v>Excellent</v>
      </c>
      <c r="U806" s="9">
        <f t="shared" si="38"/>
        <v>1.4325685273563562E-3</v>
      </c>
      <c r="V806" s="7" t="str" cm="1">
        <f t="array" ref="V806">_xlfn.IFS(HOUR(L805)&lt;12,"Morning",HOUR(L805)&lt;17,"Afternoon",HOUR(L805)&lt;21,"Evening",TRUE,"Night")</f>
        <v>Morning</v>
      </c>
    </row>
    <row r="807" spans="1:22" x14ac:dyDescent="0.3">
      <c r="A807" t="s">
        <v>897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  <c r="R807" s="5" t="str">
        <f t="shared" si="36"/>
        <v>Medium Sale</v>
      </c>
      <c r="S807" s="7">
        <f t="shared" si="37"/>
        <v>4.7619047619047628</v>
      </c>
      <c r="T807" s="7" t="str" cm="1">
        <f t="array" ref="T807">_xlfn.IFS(Q806&gt;=8,"Excellent",Q806&gt;=6,"Good",Q806&gt;=4,"Average",TRUE,"Poor")</f>
        <v>Excellent</v>
      </c>
      <c r="U807" s="9">
        <f t="shared" si="38"/>
        <v>2.2117617439311064E-3</v>
      </c>
      <c r="V807" s="7" t="str" cm="1">
        <f t="array" ref="V807">_xlfn.IFS(HOUR(L806)&lt;12,"Morning",HOUR(L806)&lt;17,"Afternoon",HOUR(L806)&lt;21,"Evening",TRUE,"Night")</f>
        <v>Morning</v>
      </c>
    </row>
    <row r="808" spans="1:22" x14ac:dyDescent="0.3">
      <c r="A808" t="s">
        <v>898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  <c r="R808" s="5" t="str">
        <f t="shared" si="36"/>
        <v>Low Sale</v>
      </c>
      <c r="S808" s="7">
        <f t="shared" si="37"/>
        <v>4.7619047619047619</v>
      </c>
      <c r="T808" s="7" t="str" cm="1">
        <f t="array" ref="T808">_xlfn.IFS(Q807&gt;=8,"Excellent",Q807&gt;=6,"Good",Q807&gt;=4,"Average",TRUE,"Poor")</f>
        <v>Average</v>
      </c>
      <c r="U808" s="9">
        <f t="shared" si="38"/>
        <v>1.0074535567746634E-3</v>
      </c>
      <c r="V808" s="7" t="str" cm="1">
        <f t="array" ref="V808">_xlfn.IFS(HOUR(L807)&lt;12,"Morning",HOUR(L807)&lt;17,"Afternoon",HOUR(L807)&lt;21,"Evening",TRUE,"Night")</f>
        <v>Afternoon</v>
      </c>
    </row>
    <row r="809" spans="1:22" x14ac:dyDescent="0.3">
      <c r="A809" t="s">
        <v>899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  <c r="R809" s="5" t="str">
        <f t="shared" si="36"/>
        <v>Low Sale</v>
      </c>
      <c r="S809" s="7">
        <f t="shared" si="37"/>
        <v>4.7619047619047619</v>
      </c>
      <c r="T809" s="7" t="str" cm="1">
        <f t="array" ref="T809">_xlfn.IFS(Q808&gt;=8,"Excellent",Q808&gt;=6,"Good",Q808&gt;=4,"Average",TRUE,"Poor")</f>
        <v>Excellent</v>
      </c>
      <c r="U809" s="9">
        <f t="shared" si="38"/>
        <v>6.0587661301318653E-4</v>
      </c>
      <c r="V809" s="7" t="str" cm="1">
        <f t="array" ref="V809">_xlfn.IFS(HOUR(L808)&lt;12,"Morning",HOUR(L808)&lt;17,"Afternoon",HOUR(L808)&lt;21,"Evening",TRUE,"Night")</f>
        <v>Evening</v>
      </c>
    </row>
    <row r="810" spans="1:22" x14ac:dyDescent="0.3">
      <c r="A810" t="s">
        <v>900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286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  <c r="R810" s="5" t="str">
        <f t="shared" si="36"/>
        <v>Low Sale</v>
      </c>
      <c r="S810" s="7">
        <f t="shared" si="37"/>
        <v>4.7619047619047619</v>
      </c>
      <c r="T810" s="7" t="str" cm="1">
        <f t="array" ref="T810">_xlfn.IFS(Q809&gt;=8,"Excellent",Q809&gt;=6,"Good",Q809&gt;=4,"Average",TRUE,"Poor")</f>
        <v>Excellent</v>
      </c>
      <c r="U810" s="9">
        <f t="shared" si="38"/>
        <v>6.5321275534776482E-4</v>
      </c>
      <c r="V810" s="7" t="str" cm="1">
        <f t="array" ref="V810">_xlfn.IFS(HOUR(L809)&lt;12,"Morning",HOUR(L809)&lt;17,"Afternoon",HOUR(L809)&lt;21,"Evening",TRUE,"Night")</f>
        <v>Evening</v>
      </c>
    </row>
    <row r="811" spans="1:22" x14ac:dyDescent="0.3">
      <c r="A811" t="s">
        <v>901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308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  <c r="R811" s="5" t="str">
        <f t="shared" si="36"/>
        <v>Low Sale</v>
      </c>
      <c r="S811" s="7">
        <f t="shared" si="37"/>
        <v>4.7619047619047619</v>
      </c>
      <c r="T811" s="7" t="str" cm="1">
        <f t="array" ref="T811">_xlfn.IFS(Q810&gt;=8,"Excellent",Q810&gt;=6,"Good",Q810&gt;=4,"Average",TRUE,"Poor")</f>
        <v>Excellent</v>
      </c>
      <c r="U811" s="9">
        <f t="shared" si="38"/>
        <v>5.7707179013651323E-5</v>
      </c>
      <c r="V811" s="7" t="str" cm="1">
        <f t="array" ref="V811">_xlfn.IFS(HOUR(L810)&lt;12,"Morning",HOUR(L810)&lt;17,"Afternoon",HOUR(L810)&lt;21,"Evening",TRUE,"Night")</f>
        <v>Morning</v>
      </c>
    </row>
    <row r="812" spans="1:22" x14ac:dyDescent="0.3">
      <c r="A812" t="s">
        <v>902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  <c r="R812" s="5" t="str">
        <f t="shared" si="36"/>
        <v>Medium Sale</v>
      </c>
      <c r="S812" s="7">
        <f t="shared" si="37"/>
        <v>4.7619047619047619</v>
      </c>
      <c r="T812" s="7" t="str" cm="1">
        <f t="array" ref="T812">_xlfn.IFS(Q811&gt;=8,"Excellent",Q811&gt;=6,"Good",Q811&gt;=4,"Average",TRUE,"Poor")</f>
        <v>Good</v>
      </c>
      <c r="U812" s="9">
        <f t="shared" si="38"/>
        <v>2.0215393752500504E-3</v>
      </c>
      <c r="V812" s="7" t="str" cm="1">
        <f t="array" ref="V812">_xlfn.IFS(HOUR(L811)&lt;12,"Morning",HOUR(L811)&lt;17,"Afternoon",HOUR(L811)&lt;21,"Evening",TRUE,"Night")</f>
        <v>Morning</v>
      </c>
    </row>
    <row r="813" spans="1:22" x14ac:dyDescent="0.3">
      <c r="A813" t="s">
        <v>903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  <c r="R813" s="5" t="str">
        <f t="shared" si="36"/>
        <v>Low Sale</v>
      </c>
      <c r="S813" s="7">
        <f t="shared" si="37"/>
        <v>4.7619047619047619</v>
      </c>
      <c r="T813" s="7" t="str" cm="1">
        <f t="array" ref="T813">_xlfn.IFS(Q812&gt;=8,"Excellent",Q812&gt;=6,"Good",Q812&gt;=4,"Average",TRUE,"Poor")</f>
        <v>Good</v>
      </c>
      <c r="U813" s="9">
        <f t="shared" si="38"/>
        <v>2.7959534620698669E-4</v>
      </c>
      <c r="V813" s="7" t="str" cm="1">
        <f t="array" ref="V813">_xlfn.IFS(HOUR(L812)&lt;12,"Morning",HOUR(L812)&lt;17,"Afternoon",HOUR(L812)&lt;21,"Evening",TRUE,"Night")</f>
        <v>Afternoon</v>
      </c>
    </row>
    <row r="814" spans="1:22" x14ac:dyDescent="0.3">
      <c r="A814" t="s">
        <v>904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  <c r="R814" s="5" t="str">
        <f t="shared" si="36"/>
        <v>Low Sale</v>
      </c>
      <c r="S814" s="7">
        <f t="shared" si="37"/>
        <v>4.7619047619047619</v>
      </c>
      <c r="T814" s="7" t="str" cm="1">
        <f t="array" ref="T814">_xlfn.IFS(Q813&gt;=8,"Excellent",Q813&gt;=6,"Good",Q813&gt;=4,"Average",TRUE,"Poor")</f>
        <v>Average</v>
      </c>
      <c r="U814" s="9">
        <f t="shared" si="38"/>
        <v>1.308896353289917E-3</v>
      </c>
      <c r="V814" s="7" t="str" cm="1">
        <f t="array" ref="V814">_xlfn.IFS(HOUR(L813)&lt;12,"Morning",HOUR(L813)&lt;17,"Afternoon",HOUR(L813)&lt;21,"Evening",TRUE,"Night")</f>
        <v>Evening</v>
      </c>
    </row>
    <row r="815" spans="1:22" x14ac:dyDescent="0.3">
      <c r="A815" t="s">
        <v>905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  <c r="R815" s="5" t="str">
        <f t="shared" si="36"/>
        <v>Low Sale</v>
      </c>
      <c r="S815" s="7">
        <f t="shared" si="37"/>
        <v>4.7619047619047628</v>
      </c>
      <c r="T815" s="7" t="str" cm="1">
        <f t="array" ref="T815">_xlfn.IFS(Q814&gt;=8,"Excellent",Q814&gt;=6,"Good",Q814&gt;=4,"Average",TRUE,"Poor")</f>
        <v>Good</v>
      </c>
      <c r="U815" s="9">
        <f t="shared" si="38"/>
        <v>1.0561226536667399E-3</v>
      </c>
      <c r="V815" s="7" t="str" cm="1">
        <f t="array" ref="V815">_xlfn.IFS(HOUR(L814)&lt;12,"Morning",HOUR(L814)&lt;17,"Afternoon",HOUR(L814)&lt;21,"Evening",TRUE,"Night")</f>
        <v>Afternoon</v>
      </c>
    </row>
    <row r="816" spans="1:22" x14ac:dyDescent="0.3">
      <c r="A816" t="s">
        <v>906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  <c r="R816" s="5" t="str">
        <f t="shared" si="36"/>
        <v>Low Sale</v>
      </c>
      <c r="S816" s="7">
        <f t="shared" si="37"/>
        <v>4.7619047619047628</v>
      </c>
      <c r="T816" s="7" t="str" cm="1">
        <f t="array" ref="T816">_xlfn.IFS(Q815&gt;=8,"Excellent",Q815&gt;=6,"Good",Q815&gt;=4,"Average",TRUE,"Poor")</f>
        <v>Good</v>
      </c>
      <c r="U816" s="9">
        <f t="shared" si="38"/>
        <v>3.0934299059993936E-4</v>
      </c>
      <c r="V816" s="7" t="str" cm="1">
        <f t="array" ref="V816">_xlfn.IFS(HOUR(L815)&lt;12,"Morning",HOUR(L815)&lt;17,"Afternoon",HOUR(L815)&lt;21,"Evening",TRUE,"Night")</f>
        <v>Afternoon</v>
      </c>
    </row>
    <row r="817" spans="1:22" x14ac:dyDescent="0.3">
      <c r="A817" t="s">
        <v>907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357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  <c r="R817" s="5" t="str">
        <f t="shared" si="36"/>
        <v>Low Sale</v>
      </c>
      <c r="S817" s="7">
        <f t="shared" si="37"/>
        <v>4.7619047619047619</v>
      </c>
      <c r="T817" s="7" t="str" cm="1">
        <f t="array" ref="T817">_xlfn.IFS(Q816&gt;=8,"Excellent",Q816&gt;=6,"Good",Q816&gt;=4,"Average",TRUE,"Poor")</f>
        <v>Average</v>
      </c>
      <c r="U817" s="9">
        <f t="shared" si="38"/>
        <v>1.2645512309380181E-3</v>
      </c>
      <c r="V817" s="7" t="str" cm="1">
        <f t="array" ref="V817">_xlfn.IFS(HOUR(L816)&lt;12,"Morning",HOUR(L816)&lt;17,"Afternoon",HOUR(L816)&lt;21,"Evening",TRUE,"Night")</f>
        <v>Morning</v>
      </c>
    </row>
    <row r="818" spans="1:22" x14ac:dyDescent="0.3">
      <c r="A818" t="s">
        <v>908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  <c r="R818" s="5" t="str">
        <f t="shared" si="36"/>
        <v>Low Sale</v>
      </c>
      <c r="S818" s="7">
        <f t="shared" si="37"/>
        <v>4.7619047619047619</v>
      </c>
      <c r="T818" s="7" t="str" cm="1">
        <f t="array" ref="T818">_xlfn.IFS(Q817&gt;=8,"Excellent",Q817&gt;=6,"Good",Q817&gt;=4,"Average",TRUE,"Poor")</f>
        <v>Average</v>
      </c>
      <c r="U818" s="9">
        <f t="shared" si="38"/>
        <v>1.3839319415510478E-3</v>
      </c>
      <c r="V818" s="7" t="str" cm="1">
        <f t="array" ref="V818">_xlfn.IFS(HOUR(L817)&lt;12,"Morning",HOUR(L817)&lt;17,"Afternoon",HOUR(L817)&lt;21,"Evening",TRUE,"Night")</f>
        <v>Afternoon</v>
      </c>
    </row>
    <row r="819" spans="1:22" x14ac:dyDescent="0.3">
      <c r="A819" t="s">
        <v>909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  <c r="R819" s="5" t="str">
        <f t="shared" si="36"/>
        <v>Low Sale</v>
      </c>
      <c r="S819" s="7">
        <f t="shared" si="37"/>
        <v>4.7619047619047628</v>
      </c>
      <c r="T819" s="7" t="str" cm="1">
        <f t="array" ref="T819">_xlfn.IFS(Q818&gt;=8,"Excellent",Q818&gt;=6,"Good",Q818&gt;=4,"Average",TRUE,"Poor")</f>
        <v>Excellent</v>
      </c>
      <c r="U819" s="9">
        <f t="shared" si="38"/>
        <v>1.0341126479246317E-3</v>
      </c>
      <c r="V819" s="7" t="str" cm="1">
        <f t="array" ref="V819">_xlfn.IFS(HOUR(L818)&lt;12,"Morning",HOUR(L818)&lt;17,"Afternoon",HOUR(L818)&lt;21,"Evening",TRUE,"Night")</f>
        <v>Morning</v>
      </c>
    </row>
    <row r="820" spans="1:22" x14ac:dyDescent="0.3">
      <c r="A820" t="s">
        <v>910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  <c r="R820" s="5" t="str">
        <f t="shared" si="36"/>
        <v>Low Sale</v>
      </c>
      <c r="S820" s="7">
        <f t="shared" si="37"/>
        <v>4.7619047619047628</v>
      </c>
      <c r="T820" s="7" t="str" cm="1">
        <f t="array" ref="T820">_xlfn.IFS(Q819&gt;=8,"Excellent",Q819&gt;=6,"Good",Q819&gt;=4,"Average",TRUE,"Poor")</f>
        <v>Excellent</v>
      </c>
      <c r="U820" s="9">
        <f t="shared" si="38"/>
        <v>8.8118049576676365E-4</v>
      </c>
      <c r="V820" s="7" t="str" cm="1">
        <f t="array" ref="V820">_xlfn.IFS(HOUR(L819)&lt;12,"Morning",HOUR(L819)&lt;17,"Afternoon",HOUR(L819)&lt;21,"Evening",TRUE,"Night")</f>
        <v>Evening</v>
      </c>
    </row>
    <row r="821" spans="1:22" x14ac:dyDescent="0.3">
      <c r="A821" t="s">
        <v>911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  <c r="R821" s="5" t="str">
        <f t="shared" si="36"/>
        <v>Low Sale</v>
      </c>
      <c r="S821" s="7">
        <f t="shared" si="37"/>
        <v>4.7619047619047619</v>
      </c>
      <c r="T821" s="7" t="str" cm="1">
        <f t="array" ref="T821">_xlfn.IFS(Q820&gt;=8,"Excellent",Q820&gt;=6,"Good",Q820&gt;=4,"Average",TRUE,"Poor")</f>
        <v>Excellent</v>
      </c>
      <c r="U821" s="9">
        <f t="shared" si="38"/>
        <v>1.2505064414541323E-3</v>
      </c>
      <c r="V821" s="7" t="str" cm="1">
        <f t="array" ref="V821">_xlfn.IFS(HOUR(L820)&lt;12,"Morning",HOUR(L820)&lt;17,"Afternoon",HOUR(L820)&lt;21,"Evening",TRUE,"Night")</f>
        <v>Evening</v>
      </c>
    </row>
    <row r="822" spans="1:22" x14ac:dyDescent="0.3">
      <c r="A822" t="s">
        <v>912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  <c r="R822" s="5" t="str">
        <f t="shared" si="36"/>
        <v>Low Sale</v>
      </c>
      <c r="S822" s="7">
        <f t="shared" si="37"/>
        <v>4.7619047619047619</v>
      </c>
      <c r="T822" s="7" t="str" cm="1">
        <f t="array" ref="T822">_xlfn.IFS(Q821&gt;=8,"Excellent",Q821&gt;=6,"Good",Q821&gt;=4,"Average",TRUE,"Poor")</f>
        <v>Good</v>
      </c>
      <c r="U822" s="9">
        <f t="shared" si="38"/>
        <v>7.666114259954357E-4</v>
      </c>
      <c r="V822" s="7" t="str" cm="1">
        <f t="array" ref="V822">_xlfn.IFS(HOUR(L821)&lt;12,"Morning",HOUR(L821)&lt;17,"Afternoon",HOUR(L821)&lt;21,"Evening",TRUE,"Night")</f>
        <v>Afternoon</v>
      </c>
    </row>
    <row r="823" spans="1:22" x14ac:dyDescent="0.3">
      <c r="A823" t="s">
        <v>913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5" t="str">
        <f t="shared" si="36"/>
        <v>Low Sale</v>
      </c>
      <c r="S823" s="7">
        <f t="shared" si="37"/>
        <v>4.7619047619047619</v>
      </c>
      <c r="T823" s="7" t="str" cm="1">
        <f t="array" ref="T823">_xlfn.IFS(Q822&gt;=8,"Excellent",Q822&gt;=6,"Good",Q822&gt;=4,"Average",TRUE,"Poor")</f>
        <v>Good</v>
      </c>
      <c r="U823" s="9">
        <f t="shared" si="38"/>
        <v>6.878045516691873E-4</v>
      </c>
      <c r="V823" s="7" t="str" cm="1">
        <f t="array" ref="V823">_xlfn.IFS(HOUR(L822)&lt;12,"Morning",HOUR(L822)&lt;17,"Afternoon",HOUR(L822)&lt;21,"Evening",TRUE,"Night")</f>
        <v>Afternoon</v>
      </c>
    </row>
    <row r="824" spans="1:22" x14ac:dyDescent="0.3">
      <c r="A824" t="s">
        <v>914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s="5" t="str">
        <f t="shared" si="36"/>
        <v>Low Sale</v>
      </c>
      <c r="S824" s="7">
        <f t="shared" si="37"/>
        <v>4.7619047619047619</v>
      </c>
      <c r="T824" s="7" t="str" cm="1">
        <f t="array" ref="T824">_xlfn.IFS(Q823&gt;=8,"Excellent",Q823&gt;=6,"Good",Q823&gt;=4,"Average",TRUE,"Poor")</f>
        <v>Average</v>
      </c>
      <c r="U824" s="9">
        <f t="shared" si="38"/>
        <v>3.1002572342207269E-4</v>
      </c>
      <c r="V824" s="7" t="str" cm="1">
        <f t="array" ref="V824">_xlfn.IFS(HOUR(L823)&lt;12,"Morning",HOUR(L823)&lt;17,"Afternoon",HOUR(L823)&lt;21,"Evening",TRUE,"Night")</f>
        <v>Morning</v>
      </c>
    </row>
    <row r="825" spans="1:22" x14ac:dyDescent="0.3">
      <c r="A825" t="s">
        <v>915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  <c r="R825" s="5" t="str">
        <f t="shared" si="36"/>
        <v>Low Sale</v>
      </c>
      <c r="S825" s="7">
        <f t="shared" si="37"/>
        <v>4.7619047619047619</v>
      </c>
      <c r="T825" s="7" t="str" cm="1">
        <f t="array" ref="T825">_xlfn.IFS(Q824&gt;=8,"Excellent",Q824&gt;=6,"Good",Q824&gt;=4,"Average",TRUE,"Poor")</f>
        <v>Average</v>
      </c>
      <c r="U825" s="9">
        <f t="shared" si="38"/>
        <v>3.306377524331459E-5</v>
      </c>
      <c r="V825" s="7" t="str" cm="1">
        <f t="array" ref="V825">_xlfn.IFS(HOUR(L824)&lt;12,"Morning",HOUR(L824)&lt;17,"Afternoon",HOUR(L824)&lt;21,"Evening",TRUE,"Night")</f>
        <v>Afternoon</v>
      </c>
    </row>
    <row r="826" spans="1:22" x14ac:dyDescent="0.3">
      <c r="A826" t="s">
        <v>916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  <c r="R826" s="5" t="str">
        <f t="shared" si="36"/>
        <v>Low Sale</v>
      </c>
      <c r="S826" s="7">
        <f t="shared" si="37"/>
        <v>4.7619047619047619</v>
      </c>
      <c r="T826" s="7" t="str" cm="1">
        <f t="array" ref="T826">_xlfn.IFS(Q825&gt;=8,"Excellent",Q825&gt;=6,"Good",Q825&gt;=4,"Average",TRUE,"Poor")</f>
        <v>Excellent</v>
      </c>
      <c r="U826" s="9">
        <f t="shared" si="38"/>
        <v>6.7015103155402525E-4</v>
      </c>
      <c r="V826" s="7" t="str" cm="1">
        <f t="array" ref="V826">_xlfn.IFS(HOUR(L825)&lt;12,"Morning",HOUR(L825)&lt;17,"Afternoon",HOUR(L825)&lt;21,"Evening",TRUE,"Night")</f>
        <v>Morning</v>
      </c>
    </row>
    <row r="827" spans="1:22" x14ac:dyDescent="0.3">
      <c r="A827" t="s">
        <v>917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  <c r="R827" s="5" t="str">
        <f t="shared" si="36"/>
        <v>Low Sale</v>
      </c>
      <c r="S827" s="7">
        <f t="shared" si="37"/>
        <v>4.7619047619047619</v>
      </c>
      <c r="T827" s="7" t="str" cm="1">
        <f t="array" ref="T827">_xlfn.IFS(Q826&gt;=8,"Excellent",Q826&gt;=6,"Good",Q826&gt;=4,"Average",TRUE,"Poor")</f>
        <v>Average</v>
      </c>
      <c r="U827" s="9">
        <f t="shared" si="38"/>
        <v>1.3672862651257017E-3</v>
      </c>
      <c r="V827" s="7" t="str" cm="1">
        <f t="array" ref="V827">_xlfn.IFS(HOUR(L826)&lt;12,"Morning",HOUR(L826)&lt;17,"Afternoon",HOUR(L826)&lt;21,"Evening",TRUE,"Night")</f>
        <v>Morning</v>
      </c>
    </row>
    <row r="828" spans="1:22" x14ac:dyDescent="0.3">
      <c r="A828" t="s">
        <v>918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  <c r="R828" s="5" t="str">
        <f t="shared" si="36"/>
        <v>Low Sale</v>
      </c>
      <c r="S828" s="7">
        <f t="shared" si="37"/>
        <v>4.7619047619047628</v>
      </c>
      <c r="T828" s="7" t="str" cm="1">
        <f t="array" ref="T828">_xlfn.IFS(Q827&gt;=8,"Excellent",Q827&gt;=6,"Good",Q827&gt;=4,"Average",TRUE,"Poor")</f>
        <v>Good</v>
      </c>
      <c r="U828" s="9">
        <f t="shared" si="38"/>
        <v>2.8622760790771056E-4</v>
      </c>
      <c r="V828" s="7" t="str" cm="1">
        <f t="array" ref="V828">_xlfn.IFS(HOUR(L827)&lt;12,"Morning",HOUR(L827)&lt;17,"Afternoon",HOUR(L827)&lt;21,"Evening",TRUE,"Night")</f>
        <v>Evening</v>
      </c>
    </row>
    <row r="829" spans="1:22" x14ac:dyDescent="0.3">
      <c r="A829" t="s">
        <v>919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  <c r="R829" s="5" t="str">
        <f t="shared" si="36"/>
        <v>Medium Sale</v>
      </c>
      <c r="S829" s="7">
        <f t="shared" si="37"/>
        <v>4.7619047619047628</v>
      </c>
      <c r="T829" s="7" t="str" cm="1">
        <f t="array" ref="T829">_xlfn.IFS(Q828&gt;=8,"Excellent",Q828&gt;=6,"Good",Q828&gt;=4,"Average",TRUE,"Poor")</f>
        <v>Good</v>
      </c>
      <c r="U829" s="9">
        <f t="shared" si="38"/>
        <v>2.1099370201729337E-3</v>
      </c>
      <c r="V829" s="7" t="str" cm="1">
        <f t="array" ref="V829">_xlfn.IFS(HOUR(L828)&lt;12,"Morning",HOUR(L828)&lt;17,"Afternoon",HOUR(L828)&lt;21,"Evening",TRUE,"Night")</f>
        <v>Afternoon</v>
      </c>
    </row>
    <row r="830" spans="1:22" x14ac:dyDescent="0.3">
      <c r="A830" t="s">
        <v>920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  <c r="R830" s="5" t="str">
        <f t="shared" si="36"/>
        <v>Low Sale</v>
      </c>
      <c r="S830" s="7">
        <f t="shared" si="37"/>
        <v>4.7619047619047619</v>
      </c>
      <c r="T830" s="7" t="str" cm="1">
        <f t="array" ref="T830">_xlfn.IFS(Q829&gt;=8,"Excellent",Q829&gt;=6,"Good",Q829&gt;=4,"Average",TRUE,"Poor")</f>
        <v>Excellent</v>
      </c>
      <c r="U830" s="9">
        <f t="shared" si="38"/>
        <v>4.0261729853806089E-4</v>
      </c>
      <c r="V830" s="7" t="str" cm="1">
        <f t="array" ref="V830">_xlfn.IFS(HOUR(L829)&lt;12,"Morning",HOUR(L829)&lt;17,"Afternoon",HOUR(L829)&lt;21,"Evening",TRUE,"Night")</f>
        <v>Evening</v>
      </c>
    </row>
    <row r="831" spans="1:22" x14ac:dyDescent="0.3">
      <c r="A831" t="s">
        <v>921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  <c r="R831" s="5" t="str">
        <f t="shared" si="36"/>
        <v>Medium Sale</v>
      </c>
      <c r="S831" s="7">
        <f t="shared" si="37"/>
        <v>4.7619047619047619</v>
      </c>
      <c r="T831" s="7" t="str" cm="1">
        <f t="array" ref="T831">_xlfn.IFS(Q830&gt;=8,"Excellent",Q830&gt;=6,"Good",Q830&gt;=4,"Average",TRUE,"Poor")</f>
        <v>Average</v>
      </c>
      <c r="U831" s="9">
        <f t="shared" si="38"/>
        <v>2.1115950855981149E-3</v>
      </c>
      <c r="V831" s="7" t="str" cm="1">
        <f t="array" ref="V831">_xlfn.IFS(HOUR(L830)&lt;12,"Morning",HOUR(L830)&lt;17,"Afternoon",HOUR(L830)&lt;21,"Evening",TRUE,"Night")</f>
        <v>Evening</v>
      </c>
    </row>
    <row r="832" spans="1:22" x14ac:dyDescent="0.3">
      <c r="A832" t="s">
        <v>922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  <c r="R832" s="5" t="str">
        <f t="shared" si="36"/>
        <v>Medium Sale</v>
      </c>
      <c r="S832" s="7">
        <f t="shared" si="37"/>
        <v>4.7619047619047628</v>
      </c>
      <c r="T832" s="7" t="str" cm="1">
        <f t="array" ref="T832">_xlfn.IFS(Q831&gt;=8,"Excellent",Q831&gt;=6,"Good",Q831&gt;=4,"Average",TRUE,"Poor")</f>
        <v>Average</v>
      </c>
      <c r="U832" s="9">
        <f t="shared" si="38"/>
        <v>2.4129728599398318E-3</v>
      </c>
      <c r="V832" s="7" t="str" cm="1">
        <f t="array" ref="V832">_xlfn.IFS(HOUR(L831)&lt;12,"Morning",HOUR(L831)&lt;17,"Afternoon",HOUR(L831)&lt;21,"Evening",TRUE,"Night")</f>
        <v>Afternoon</v>
      </c>
    </row>
    <row r="833" spans="1:22" x14ac:dyDescent="0.3">
      <c r="A833" t="s">
        <v>923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  <c r="R833" s="5" t="str">
        <f t="shared" si="36"/>
        <v>Low Sale</v>
      </c>
      <c r="S833" s="7">
        <f t="shared" si="37"/>
        <v>4.7619047619047628</v>
      </c>
      <c r="T833" s="7" t="str" cm="1">
        <f t="array" ref="T833">_xlfn.IFS(Q832&gt;=8,"Excellent",Q832&gt;=6,"Good",Q832&gt;=4,"Average",TRUE,"Poor")</f>
        <v>Good</v>
      </c>
      <c r="U833" s="9">
        <f t="shared" si="38"/>
        <v>2.7465366101821204E-4</v>
      </c>
      <c r="V833" s="7" t="str" cm="1">
        <f t="array" ref="V833">_xlfn.IFS(HOUR(L832)&lt;12,"Morning",HOUR(L832)&lt;17,"Afternoon",HOUR(L832)&lt;21,"Evening",TRUE,"Night")</f>
        <v>Evening</v>
      </c>
    </row>
    <row r="834" spans="1:22" x14ac:dyDescent="0.3">
      <c r="A834" t="s">
        <v>924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  <c r="R834" s="5" t="str">
        <f t="shared" si="36"/>
        <v>Low Sale</v>
      </c>
      <c r="S834" s="7">
        <f t="shared" si="37"/>
        <v>4.7619047619047619</v>
      </c>
      <c r="T834" s="7" t="str" cm="1">
        <f t="array" ref="T834">_xlfn.IFS(Q833&gt;=8,"Excellent",Q833&gt;=6,"Good",Q833&gt;=4,"Average",TRUE,"Poor")</f>
        <v>Excellent</v>
      </c>
      <c r="U834" s="9">
        <f t="shared" si="38"/>
        <v>8.1368747963586781E-4</v>
      </c>
      <c r="V834" s="7" t="str" cm="1">
        <f t="array" ref="V834">_xlfn.IFS(HOUR(L833)&lt;12,"Morning",HOUR(L833)&lt;17,"Afternoon",HOUR(L833)&lt;21,"Evening",TRUE,"Night")</f>
        <v>Evening</v>
      </c>
    </row>
    <row r="835" spans="1:22" x14ac:dyDescent="0.3">
      <c r="A835" t="s">
        <v>925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  <c r="R835" s="5" t="str">
        <f t="shared" si="36"/>
        <v>Low Sale</v>
      </c>
      <c r="S835" s="7">
        <f t="shared" si="37"/>
        <v>4.7619047619047619</v>
      </c>
      <c r="T835" s="7" t="str" cm="1">
        <f t="array" ref="T835">_xlfn.IFS(Q834&gt;=8,"Excellent",Q834&gt;=6,"Good",Q834&gt;=4,"Average",TRUE,"Poor")</f>
        <v>Average</v>
      </c>
      <c r="U835" s="9">
        <f t="shared" si="38"/>
        <v>3.0820510256305048E-4</v>
      </c>
      <c r="V835" s="7" t="str" cm="1">
        <f t="array" ref="V835">_xlfn.IFS(HOUR(L834)&lt;12,"Morning",HOUR(L834)&lt;17,"Afternoon",HOUR(L834)&lt;21,"Evening",TRUE,"Night")</f>
        <v>Afternoon</v>
      </c>
    </row>
    <row r="836" spans="1:22" x14ac:dyDescent="0.3">
      <c r="A836" t="s">
        <v>926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  <c r="R836" s="5" t="str">
        <f t="shared" ref="R836:R899" si="39">IF(J835&gt;=1000,"High Sale",IF(J835&gt;=500,"Medium Sale","Low Sale"))</f>
        <v>Low Sale</v>
      </c>
      <c r="S836" s="7">
        <f t="shared" ref="S836:S899" si="40">(P835/J835)*100</f>
        <v>4.7619047619047628</v>
      </c>
      <c r="T836" s="7" t="str" cm="1">
        <f t="array" ref="T836">_xlfn.IFS(Q835&gt;=8,"Excellent",Q835&gt;=6,"Good",Q835&gt;=4,"Average",TRUE,"Poor")</f>
        <v>Excellent</v>
      </c>
      <c r="U836" s="9">
        <f t="shared" ref="U836:U899" si="41">J835/SUM($J$2:$J$1001)</f>
        <v>2.9682622219416149E-4</v>
      </c>
      <c r="V836" s="7" t="str" cm="1">
        <f t="array" ref="V836">_xlfn.IFS(HOUR(L835)&lt;12,"Morning",HOUR(L835)&lt;17,"Afternoon",HOUR(L835)&lt;21,"Evening",TRUE,"Night")</f>
        <v>Afternoon</v>
      </c>
    </row>
    <row r="837" spans="1:22" x14ac:dyDescent="0.3">
      <c r="A837" t="s">
        <v>927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  <c r="R837" s="5" t="str">
        <f t="shared" si="39"/>
        <v>Low Sale</v>
      </c>
      <c r="S837" s="7">
        <f t="shared" si="40"/>
        <v>4.7619047619047619</v>
      </c>
      <c r="T837" s="7" t="str" cm="1">
        <f t="array" ref="T837">_xlfn.IFS(Q836&gt;=8,"Excellent",Q836&gt;=6,"Good",Q836&gt;=4,"Average",TRUE,"Poor")</f>
        <v>Average</v>
      </c>
      <c r="U837" s="9">
        <f t="shared" si="41"/>
        <v>9.2692359484969746E-4</v>
      </c>
      <c r="V837" s="7" t="str" cm="1">
        <f t="array" ref="V837">_xlfn.IFS(HOUR(L836)&lt;12,"Morning",HOUR(L836)&lt;17,"Afternoon",HOUR(L836)&lt;21,"Evening",TRUE,"Night")</f>
        <v>Morning</v>
      </c>
    </row>
    <row r="838" spans="1:22" x14ac:dyDescent="0.3">
      <c r="A838" t="s">
        <v>928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  <c r="R838" s="5" t="str">
        <f t="shared" si="39"/>
        <v>Low Sale</v>
      </c>
      <c r="S838" s="7">
        <f t="shared" si="40"/>
        <v>4.7619047619047628</v>
      </c>
      <c r="T838" s="7" t="str" cm="1">
        <f t="array" ref="T838">_xlfn.IFS(Q837&gt;=8,"Excellent",Q837&gt;=6,"Good",Q837&gt;=4,"Average",TRUE,"Poor")</f>
        <v>Average</v>
      </c>
      <c r="U838" s="9">
        <f t="shared" si="41"/>
        <v>1.7029307249211587E-4</v>
      </c>
      <c r="V838" s="7" t="str" cm="1">
        <f t="array" ref="V838">_xlfn.IFS(HOUR(L837)&lt;12,"Morning",HOUR(L837)&lt;17,"Afternoon",HOUR(L837)&lt;21,"Evening",TRUE,"Night")</f>
        <v>Evening</v>
      </c>
    </row>
    <row r="839" spans="1:22" x14ac:dyDescent="0.3">
      <c r="A839" t="s">
        <v>929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5" t="str">
        <f t="shared" si="39"/>
        <v>Low Sale</v>
      </c>
      <c r="S839" s="7">
        <f t="shared" si="40"/>
        <v>4.7619047619047619</v>
      </c>
      <c r="T839" s="7" t="str" cm="1">
        <f t="array" ref="T839">_xlfn.IFS(Q838&gt;=8,"Excellent",Q838&gt;=6,"Good",Q838&gt;=4,"Average",TRUE,"Poor")</f>
        <v>Average</v>
      </c>
      <c r="U839" s="9">
        <f t="shared" si="41"/>
        <v>6.2648864202425984E-4</v>
      </c>
      <c r="V839" s="7" t="str" cm="1">
        <f t="array" ref="V839">_xlfn.IFS(HOUR(L838)&lt;12,"Morning",HOUR(L838)&lt;17,"Afternoon",HOUR(L838)&lt;21,"Evening",TRUE,"Night")</f>
        <v>Afternoon</v>
      </c>
    </row>
    <row r="840" spans="1:22" x14ac:dyDescent="0.3">
      <c r="A840" t="s">
        <v>930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  <c r="R840" s="5" t="str">
        <f t="shared" si="39"/>
        <v>Low Sale</v>
      </c>
      <c r="S840" s="7">
        <f t="shared" si="40"/>
        <v>4.7619047619047619</v>
      </c>
      <c r="T840" s="7" t="str" cm="1">
        <f t="array" ref="T840">_xlfn.IFS(Q839&gt;=8,"Excellent",Q839&gt;=6,"Good",Q839&gt;=4,"Average",TRUE,"Poor")</f>
        <v>Average</v>
      </c>
      <c r="U840" s="9">
        <f t="shared" si="41"/>
        <v>8.7058188148031272E-4</v>
      </c>
      <c r="V840" s="7" t="str" cm="1">
        <f t="array" ref="V840">_xlfn.IFS(HOUR(L839)&lt;12,"Morning",HOUR(L839)&lt;17,"Afternoon",HOUR(L839)&lt;21,"Evening",TRUE,"Night")</f>
        <v>Evening</v>
      </c>
    </row>
    <row r="841" spans="1:22" x14ac:dyDescent="0.3">
      <c r="A841" t="s">
        <v>931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  <c r="R841" s="5" t="str">
        <f t="shared" si="39"/>
        <v>Medium Sale</v>
      </c>
      <c r="S841" s="7">
        <f t="shared" si="40"/>
        <v>4.7619047619047619</v>
      </c>
      <c r="T841" s="7" t="str" cm="1">
        <f t="array" ref="T841">_xlfn.IFS(Q840&gt;=8,"Excellent",Q840&gt;=6,"Good",Q840&gt;=4,"Average",TRUE,"Poor")</f>
        <v>Average</v>
      </c>
      <c r="U841" s="9">
        <f t="shared" si="41"/>
        <v>1.8163944177423659E-3</v>
      </c>
      <c r="V841" s="7" t="str" cm="1">
        <f t="array" ref="V841">_xlfn.IFS(HOUR(L840)&lt;12,"Morning",HOUR(L840)&lt;17,"Afternoon",HOUR(L840)&lt;21,"Evening",TRUE,"Night")</f>
        <v>Afternoon</v>
      </c>
    </row>
    <row r="842" spans="1:22" x14ac:dyDescent="0.3">
      <c r="A842" t="s">
        <v>932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  <c r="R842" s="5" t="str">
        <f t="shared" si="39"/>
        <v>Low Sale</v>
      </c>
      <c r="S842" s="7">
        <f t="shared" si="40"/>
        <v>4.7619047619047619</v>
      </c>
      <c r="T842" s="7" t="str" cm="1">
        <f t="array" ref="T842">_xlfn.IFS(Q841&gt;=8,"Excellent",Q841&gt;=6,"Good",Q841&gt;=4,"Average",TRUE,"Poor")</f>
        <v>Average</v>
      </c>
      <c r="U842" s="9">
        <f t="shared" si="41"/>
        <v>5.6998437322103388E-4</v>
      </c>
      <c r="V842" s="7" t="str" cm="1">
        <f t="array" ref="V842">_xlfn.IFS(HOUR(L841)&lt;12,"Morning",HOUR(L841)&lt;17,"Afternoon",HOUR(L841)&lt;21,"Evening",TRUE,"Night")</f>
        <v>Morning</v>
      </c>
    </row>
    <row r="843" spans="1:22" x14ac:dyDescent="0.3">
      <c r="A843" t="s">
        <v>933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  <c r="R843" s="5" t="str">
        <f t="shared" si="39"/>
        <v>Low Sale</v>
      </c>
      <c r="S843" s="7">
        <f t="shared" si="40"/>
        <v>4.7619047619047628</v>
      </c>
      <c r="T843" s="7" t="str" cm="1">
        <f t="array" ref="T843">_xlfn.IFS(Q842&gt;=8,"Excellent",Q842&gt;=6,"Good",Q842&gt;=4,"Average",TRUE,"Poor")</f>
        <v>Good</v>
      </c>
      <c r="U843" s="9">
        <f t="shared" si="41"/>
        <v>5.0658775402293802E-4</v>
      </c>
      <c r="V843" s="7" t="str" cm="1">
        <f t="array" ref="V843">_xlfn.IFS(HOUR(L842)&lt;12,"Morning",HOUR(L842)&lt;17,"Afternoon",HOUR(L842)&lt;21,"Evening",TRUE,"Night")</f>
        <v>Afternoon</v>
      </c>
    </row>
    <row r="844" spans="1:22" x14ac:dyDescent="0.3">
      <c r="A844" t="s">
        <v>934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  <c r="R844" s="5" t="str">
        <f t="shared" si="39"/>
        <v>Low Sale</v>
      </c>
      <c r="S844" s="7">
        <f t="shared" si="40"/>
        <v>4.7619047619047628</v>
      </c>
      <c r="T844" s="7" t="str" cm="1">
        <f t="array" ref="T844">_xlfn.IFS(Q843&gt;=8,"Excellent",Q843&gt;=6,"Good",Q843&gt;=4,"Average",TRUE,"Poor")</f>
        <v>Good</v>
      </c>
      <c r="U844" s="9">
        <f t="shared" si="41"/>
        <v>1.9604185321257323E-4</v>
      </c>
      <c r="V844" s="7" t="str" cm="1">
        <f t="array" ref="V844">_xlfn.IFS(HOUR(L843)&lt;12,"Morning",HOUR(L843)&lt;17,"Afternoon",HOUR(L843)&lt;21,"Evening",TRUE,"Night")</f>
        <v>Evening</v>
      </c>
    </row>
    <row r="845" spans="1:22" x14ac:dyDescent="0.3">
      <c r="A845" t="s">
        <v>935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260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  <c r="R845" s="5" t="str">
        <f t="shared" si="39"/>
        <v>Low Sale</v>
      </c>
      <c r="S845" s="7">
        <f t="shared" si="40"/>
        <v>4.7619047619047619</v>
      </c>
      <c r="T845" s="7" t="str" cm="1">
        <f t="array" ref="T845">_xlfn.IFS(Q844&gt;=8,"Excellent",Q844&gt;=6,"Good",Q844&gt;=4,"Average",TRUE,"Poor")</f>
        <v>Average</v>
      </c>
      <c r="U845" s="9">
        <f t="shared" si="41"/>
        <v>2.5664251894859922E-4</v>
      </c>
      <c r="V845" s="7" t="str" cm="1">
        <f t="array" ref="V845">_xlfn.IFS(HOUR(L844)&lt;12,"Morning",HOUR(L844)&lt;17,"Afternoon",HOUR(L844)&lt;21,"Evening",TRUE,"Night")</f>
        <v>Afternoon</v>
      </c>
    </row>
    <row r="846" spans="1:22" x14ac:dyDescent="0.3">
      <c r="A846" t="s">
        <v>936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  <c r="R846" s="5" t="str">
        <f t="shared" si="39"/>
        <v>Low Sale</v>
      </c>
      <c r="S846" s="7">
        <f t="shared" si="40"/>
        <v>4.7619047619047628</v>
      </c>
      <c r="T846" s="7" t="str" cm="1">
        <f t="array" ref="T846">_xlfn.IFS(Q845&gt;=8,"Excellent",Q845&gt;=6,"Good",Q845&gt;=4,"Average",TRUE,"Poor")</f>
        <v>Excellent</v>
      </c>
      <c r="U846" s="9">
        <f t="shared" si="41"/>
        <v>9.66879720487882E-5</v>
      </c>
      <c r="V846" s="7" t="str" cm="1">
        <f t="array" ref="V846">_xlfn.IFS(HOUR(L845)&lt;12,"Morning",HOUR(L845)&lt;17,"Afternoon",HOUR(L845)&lt;21,"Evening",TRUE,"Night")</f>
        <v>Evening</v>
      </c>
    </row>
    <row r="847" spans="1:22" x14ac:dyDescent="0.3">
      <c r="A847" t="s">
        <v>937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243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  <c r="R847" s="5" t="str">
        <f t="shared" si="39"/>
        <v>Low Sale</v>
      </c>
      <c r="S847" s="7">
        <f t="shared" si="40"/>
        <v>4.7619047619047628</v>
      </c>
      <c r="T847" s="7" t="str" cm="1">
        <f t="array" ref="T847">_xlfn.IFS(Q846&gt;=8,"Excellent",Q846&gt;=6,"Good",Q846&gt;=4,"Average",TRUE,"Poor")</f>
        <v>Average</v>
      </c>
      <c r="U847" s="9">
        <f t="shared" si="41"/>
        <v>6.9313636989918093E-5</v>
      </c>
      <c r="V847" s="7" t="str" cm="1">
        <f t="array" ref="V847">_xlfn.IFS(HOUR(L846)&lt;12,"Morning",HOUR(L846)&lt;17,"Afternoon",HOUR(L846)&lt;21,"Evening",TRUE,"Night")</f>
        <v>Afternoon</v>
      </c>
    </row>
    <row r="848" spans="1:22" x14ac:dyDescent="0.3">
      <c r="A848" t="s">
        <v>938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5" t="str">
        <f t="shared" si="39"/>
        <v>Low Sale</v>
      </c>
      <c r="S848" s="7">
        <f t="shared" si="40"/>
        <v>4.7619047619047628</v>
      </c>
      <c r="T848" s="7" t="str" cm="1">
        <f t="array" ref="T848">_xlfn.IFS(Q847&gt;=8,"Excellent",Q847&gt;=6,"Good",Q847&gt;=4,"Average",TRUE,"Poor")</f>
        <v>Average</v>
      </c>
      <c r="U848" s="9">
        <f t="shared" si="41"/>
        <v>9.1466691513806555E-4</v>
      </c>
      <c r="V848" s="7" t="str" cm="1">
        <f t="array" ref="V848">_xlfn.IFS(HOUR(L847)&lt;12,"Morning",HOUR(L847)&lt;17,"Afternoon",HOUR(L847)&lt;21,"Evening",TRUE,"Night")</f>
        <v>Morning</v>
      </c>
    </row>
    <row r="849" spans="1:22" x14ac:dyDescent="0.3">
      <c r="A849" t="s">
        <v>939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243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  <c r="R849" s="5" t="str">
        <f t="shared" si="39"/>
        <v>Low Sale</v>
      </c>
      <c r="S849" s="7">
        <f t="shared" si="40"/>
        <v>4.7619047619047619</v>
      </c>
      <c r="T849" s="7" t="str" cm="1">
        <f t="array" ref="T849">_xlfn.IFS(Q848&gt;=8,"Excellent",Q848&gt;=6,"Good",Q848&gt;=4,"Average",TRUE,"Poor")</f>
        <v>Excellent</v>
      </c>
      <c r="U849" s="9">
        <f t="shared" si="41"/>
        <v>2.3817622166423077E-4</v>
      </c>
      <c r="V849" s="7" t="str" cm="1">
        <f t="array" ref="V849">_xlfn.IFS(HOUR(L848)&lt;12,"Morning",HOUR(L848)&lt;17,"Afternoon",HOUR(L848)&lt;21,"Evening",TRUE,"Night")</f>
        <v>Evening</v>
      </c>
    </row>
    <row r="850" spans="1:22" x14ac:dyDescent="0.3">
      <c r="A850" t="s">
        <v>940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  <c r="R850" s="5" t="str">
        <f t="shared" si="39"/>
        <v>Low Sale</v>
      </c>
      <c r="S850" s="7">
        <f t="shared" si="40"/>
        <v>4.7619047619047628</v>
      </c>
      <c r="T850" s="7" t="str" cm="1">
        <f t="array" ref="T850">_xlfn.IFS(Q849&gt;=8,"Excellent",Q849&gt;=6,"Good",Q849&gt;=4,"Average",TRUE,"Poor")</f>
        <v>Excellent</v>
      </c>
      <c r="U850" s="9">
        <f t="shared" si="41"/>
        <v>7.2759812187353056E-5</v>
      </c>
      <c r="V850" s="7" t="str" cm="1">
        <f t="array" ref="V850">_xlfn.IFS(HOUR(L849)&lt;12,"Morning",HOUR(L849)&lt;17,"Afternoon",HOUR(L849)&lt;21,"Evening",TRUE,"Night")</f>
        <v>Evening</v>
      </c>
    </row>
    <row r="851" spans="1:22" x14ac:dyDescent="0.3">
      <c r="A851" t="s">
        <v>941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  <c r="R851" s="5" t="str">
        <f t="shared" si="39"/>
        <v>Medium Sale</v>
      </c>
      <c r="S851" s="7">
        <f t="shared" si="40"/>
        <v>4.7619047619047619</v>
      </c>
      <c r="T851" s="7" t="str" cm="1">
        <f t="array" ref="T851">_xlfn.IFS(Q850&gt;=8,"Excellent",Q850&gt;=6,"Good",Q850&gt;=4,"Average",TRUE,"Poor")</f>
        <v>Average</v>
      </c>
      <c r="U851" s="9">
        <f t="shared" si="41"/>
        <v>2.1324672033033341E-3</v>
      </c>
      <c r="V851" s="7" t="str" cm="1">
        <f t="array" ref="V851">_xlfn.IFS(HOUR(L850)&lt;12,"Morning",HOUR(L850)&lt;17,"Afternoon",HOUR(L850)&lt;21,"Evening",TRUE,"Night")</f>
        <v>Evening</v>
      </c>
    </row>
    <row r="852" spans="1:22" x14ac:dyDescent="0.3">
      <c r="A852" t="s">
        <v>942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5" t="str">
        <f t="shared" si="39"/>
        <v>Medium Sale</v>
      </c>
      <c r="S852" s="7">
        <f t="shared" si="40"/>
        <v>4.7619047619047619</v>
      </c>
      <c r="T852" s="7" t="str" cm="1">
        <f t="array" ref="T852">_xlfn.IFS(Q851&gt;=8,"Excellent",Q851&gt;=6,"Good",Q851&gt;=4,"Average",TRUE,"Poor")</f>
        <v>Average</v>
      </c>
      <c r="U852" s="9">
        <f t="shared" si="41"/>
        <v>1.933109219240399E-3</v>
      </c>
      <c r="V852" s="7" t="str" cm="1">
        <f t="array" ref="V852">_xlfn.IFS(HOUR(L851)&lt;12,"Morning",HOUR(L851)&lt;17,"Afternoon",HOUR(L851)&lt;21,"Evening",TRUE,"Night")</f>
        <v>Afternoon</v>
      </c>
    </row>
    <row r="853" spans="1:22" x14ac:dyDescent="0.3">
      <c r="A853" t="s">
        <v>943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456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5" t="str">
        <f t="shared" si="39"/>
        <v>Low Sale</v>
      </c>
      <c r="S853" s="7">
        <f t="shared" si="40"/>
        <v>4.7619047619047619</v>
      </c>
      <c r="T853" s="7" t="str" cm="1">
        <f t="array" ref="T853">_xlfn.IFS(Q852&gt;=8,"Excellent",Q852&gt;=6,"Good",Q852&gt;=4,"Average",TRUE,"Poor")</f>
        <v>Excellent</v>
      </c>
      <c r="U853" s="9">
        <f t="shared" si="41"/>
        <v>2.4090715295276414E-4</v>
      </c>
      <c r="V853" s="7" t="str" cm="1">
        <f t="array" ref="V853">_xlfn.IFS(HOUR(L852)&lt;12,"Morning",HOUR(L852)&lt;17,"Afternoon",HOUR(L852)&lt;21,"Evening",TRUE,"Night")</f>
        <v>Morning</v>
      </c>
    </row>
    <row r="854" spans="1:22" x14ac:dyDescent="0.3">
      <c r="A854" t="s">
        <v>944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286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  <c r="R854" s="5" t="str">
        <f t="shared" si="39"/>
        <v>Low Sale</v>
      </c>
      <c r="S854" s="7">
        <f t="shared" si="40"/>
        <v>4.7619047619047628</v>
      </c>
      <c r="T854" s="7" t="str" cm="1">
        <f t="array" ref="T854">_xlfn.IFS(Q853&gt;=8,"Excellent",Q853&gt;=6,"Good",Q853&gt;=4,"Average",TRUE,"Poor")</f>
        <v>Excellent</v>
      </c>
      <c r="U854" s="9">
        <f t="shared" si="41"/>
        <v>6.4033836498753602E-4</v>
      </c>
      <c r="V854" s="7" t="str" cm="1">
        <f t="array" ref="V854">_xlfn.IFS(HOUR(L853)&lt;12,"Morning",HOUR(L853)&lt;17,"Afternoon",HOUR(L853)&lt;21,"Evening",TRUE,"Night")</f>
        <v>Morning</v>
      </c>
    </row>
    <row r="855" spans="1:22" x14ac:dyDescent="0.3">
      <c r="A855" t="s">
        <v>945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  <c r="R855" s="5" t="str">
        <f t="shared" si="39"/>
        <v>Low Sale</v>
      </c>
      <c r="S855" s="7">
        <f t="shared" si="40"/>
        <v>4.7619047619047619</v>
      </c>
      <c r="T855" s="7" t="str" cm="1">
        <f t="array" ref="T855">_xlfn.IFS(Q854&gt;=8,"Excellent",Q854&gt;=6,"Good",Q854&gt;=4,"Average",TRUE,"Poor")</f>
        <v>Average</v>
      </c>
      <c r="U855" s="9">
        <f t="shared" si="41"/>
        <v>1.2104852936424112E-3</v>
      </c>
      <c r="V855" s="7" t="str" cm="1">
        <f t="array" ref="V855">_xlfn.IFS(HOUR(L854)&lt;12,"Morning",HOUR(L854)&lt;17,"Afternoon",HOUR(L854)&lt;21,"Evening",TRUE,"Night")</f>
        <v>Afternoon</v>
      </c>
    </row>
    <row r="856" spans="1:22" x14ac:dyDescent="0.3">
      <c r="A856" t="s">
        <v>946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5" t="str">
        <f t="shared" si="39"/>
        <v>Medium Sale</v>
      </c>
      <c r="S856" s="7">
        <f t="shared" si="40"/>
        <v>4.7619047619047628</v>
      </c>
      <c r="T856" s="7" t="str" cm="1">
        <f t="array" ref="T856">_xlfn.IFS(Q855&gt;=8,"Excellent",Q855&gt;=6,"Good",Q855&gt;=4,"Average",TRUE,"Poor")</f>
        <v>Excellent</v>
      </c>
      <c r="U856" s="9">
        <f t="shared" si="41"/>
        <v>1.7162602704961427E-3</v>
      </c>
      <c r="V856" s="7" t="str" cm="1">
        <f t="array" ref="V856">_xlfn.IFS(HOUR(L855)&lt;12,"Morning",HOUR(L855)&lt;17,"Afternoon",HOUR(L855)&lt;21,"Evening",TRUE,"Night")</f>
        <v>Morning</v>
      </c>
    </row>
    <row r="857" spans="1:22" x14ac:dyDescent="0.3">
      <c r="A857" t="s">
        <v>947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  <c r="R857" s="5" t="str">
        <f t="shared" si="39"/>
        <v>Medium Sale</v>
      </c>
      <c r="S857" s="7">
        <f t="shared" si="40"/>
        <v>4.7619047619047619</v>
      </c>
      <c r="T857" s="7" t="str" cm="1">
        <f t="array" ref="T857">_xlfn.IFS(Q856&gt;=8,"Excellent",Q856&gt;=6,"Good",Q856&gt;=4,"Average",TRUE,"Poor")</f>
        <v>Excellent</v>
      </c>
      <c r="U857" s="9">
        <f t="shared" si="41"/>
        <v>1.5597193877069987E-3</v>
      </c>
      <c r="V857" s="7" t="str" cm="1">
        <f t="array" ref="V857">_xlfn.IFS(HOUR(L856)&lt;12,"Morning",HOUR(L856)&lt;17,"Afternoon",HOUR(L856)&lt;21,"Evening",TRUE,"Night")</f>
        <v>Afternoon</v>
      </c>
    </row>
    <row r="858" spans="1:22" x14ac:dyDescent="0.3">
      <c r="A858" t="s">
        <v>948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  <c r="R858" s="5" t="str">
        <f t="shared" si="39"/>
        <v>Low Sale</v>
      </c>
      <c r="S858" s="7">
        <f t="shared" si="40"/>
        <v>4.7619047619047628</v>
      </c>
      <c r="T858" s="7" t="str" cm="1">
        <f t="array" ref="T858">_xlfn.IFS(Q857&gt;=8,"Excellent",Q857&gt;=6,"Good",Q857&gt;=4,"Average",TRUE,"Poor")</f>
        <v>Average</v>
      </c>
      <c r="U858" s="9">
        <f t="shared" si="41"/>
        <v>1.068281800118067E-3</v>
      </c>
      <c r="V858" s="7" t="str" cm="1">
        <f t="array" ref="V858">_xlfn.IFS(HOUR(L857)&lt;12,"Morning",HOUR(L857)&lt;17,"Afternoon",HOUR(L857)&lt;21,"Evening",TRUE,"Night")</f>
        <v>Morning</v>
      </c>
    </row>
    <row r="859" spans="1:22" x14ac:dyDescent="0.3">
      <c r="A859" t="s">
        <v>949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5" t="str">
        <f t="shared" si="39"/>
        <v>Low Sale</v>
      </c>
      <c r="S859" s="7">
        <f t="shared" si="40"/>
        <v>4.7619047619047628</v>
      </c>
      <c r="T859" s="7" t="str" cm="1">
        <f t="array" ref="T859">_xlfn.IFS(Q858&gt;=8,"Excellent",Q858&gt;=6,"Good",Q858&gt;=4,"Average",TRUE,"Poor")</f>
        <v>Good</v>
      </c>
      <c r="U859" s="9">
        <f t="shared" si="41"/>
        <v>5.4930732203642408E-4</v>
      </c>
      <c r="V859" s="7" t="str" cm="1">
        <f t="array" ref="V859">_xlfn.IFS(HOUR(L858)&lt;12,"Morning",HOUR(L858)&lt;17,"Afternoon",HOUR(L858)&lt;21,"Evening",TRUE,"Night")</f>
        <v>Evening</v>
      </c>
    </row>
    <row r="860" spans="1:22" x14ac:dyDescent="0.3">
      <c r="A860" t="s">
        <v>950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5" t="str">
        <f t="shared" si="39"/>
        <v>Low Sale</v>
      </c>
      <c r="S860" s="7">
        <f t="shared" si="40"/>
        <v>4.7619047619047619</v>
      </c>
      <c r="T860" s="7" t="str" cm="1">
        <f t="array" ref="T860">_xlfn.IFS(Q859&gt;=8,"Excellent",Q859&gt;=6,"Good",Q859&gt;=4,"Average",TRUE,"Poor")</f>
        <v>Excellent</v>
      </c>
      <c r="U860" s="9">
        <f t="shared" si="41"/>
        <v>3.6815554656371134E-4</v>
      </c>
      <c r="V860" s="7" t="str" cm="1">
        <f t="array" ref="V860">_xlfn.IFS(HOUR(L859)&lt;12,"Morning",HOUR(L859)&lt;17,"Afternoon",HOUR(L859)&lt;21,"Evening",TRUE,"Night")</f>
        <v>Evening</v>
      </c>
    </row>
    <row r="861" spans="1:22" x14ac:dyDescent="0.3">
      <c r="A861" t="s">
        <v>951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  <c r="R861" s="5" t="str">
        <f t="shared" si="39"/>
        <v>Low Sale</v>
      </c>
      <c r="S861" s="7">
        <f t="shared" si="40"/>
        <v>4.7619047619047628</v>
      </c>
      <c r="T861" s="7" t="str" cm="1">
        <f t="array" ref="T861">_xlfn.IFS(Q860&gt;=8,"Excellent",Q860&gt;=6,"Good",Q860&gt;=4,"Average",TRUE,"Poor")</f>
        <v>Average</v>
      </c>
      <c r="U861" s="9">
        <f t="shared" si="41"/>
        <v>1.1233880921902579E-3</v>
      </c>
      <c r="V861" s="7" t="str" cm="1">
        <f t="array" ref="V861">_xlfn.IFS(HOUR(L860)&lt;12,"Morning",HOUR(L860)&lt;17,"Afternoon",HOUR(L860)&lt;21,"Evening",TRUE,"Night")</f>
        <v>Afternoon</v>
      </c>
    </row>
    <row r="862" spans="1:22" x14ac:dyDescent="0.3">
      <c r="A862" t="s">
        <v>952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  <c r="R862" s="5" t="str">
        <f t="shared" si="39"/>
        <v>Low Sale</v>
      </c>
      <c r="S862" s="7">
        <f t="shared" si="40"/>
        <v>4.7619047619047619</v>
      </c>
      <c r="T862" s="7" t="str" cm="1">
        <f t="array" ref="T862">_xlfn.IFS(Q861&gt;=8,"Excellent",Q861&gt;=6,"Good",Q861&gt;=4,"Average",TRUE,"Poor")</f>
        <v>Average</v>
      </c>
      <c r="U862" s="9">
        <f t="shared" si="41"/>
        <v>1.3936527564947557E-3</v>
      </c>
      <c r="V862" s="7" t="str" cm="1">
        <f t="array" ref="V862">_xlfn.IFS(HOUR(L861)&lt;12,"Morning",HOUR(L861)&lt;17,"Afternoon",HOUR(L861)&lt;21,"Evening",TRUE,"Night")</f>
        <v>Afternoon</v>
      </c>
    </row>
    <row r="863" spans="1:22" x14ac:dyDescent="0.3">
      <c r="A863" t="s">
        <v>953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  <c r="R863" s="5" t="str">
        <f t="shared" si="39"/>
        <v>Low Sale</v>
      </c>
      <c r="S863" s="7">
        <f t="shared" si="40"/>
        <v>4.7619047619047628</v>
      </c>
      <c r="T863" s="7" t="str" cm="1">
        <f t="array" ref="T863">_xlfn.IFS(Q862&gt;=8,"Excellent",Q862&gt;=6,"Good",Q862&gt;=4,"Average",TRUE,"Poor")</f>
        <v>Good</v>
      </c>
      <c r="U863" s="9">
        <f t="shared" si="41"/>
        <v>2.804731455497296E-4</v>
      </c>
      <c r="V863" s="7" t="str" cm="1">
        <f t="array" ref="V863">_xlfn.IFS(HOUR(L862)&lt;12,"Morning",HOUR(L862)&lt;17,"Afternoon",HOUR(L862)&lt;21,"Evening",TRUE,"Night")</f>
        <v>Afternoon</v>
      </c>
    </row>
    <row r="864" spans="1:22" x14ac:dyDescent="0.3">
      <c r="A864" t="s">
        <v>954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  <c r="R864" s="5" t="str">
        <f t="shared" si="39"/>
        <v>Low Sale</v>
      </c>
      <c r="S864" s="7">
        <f t="shared" si="40"/>
        <v>4.7619047619047628</v>
      </c>
      <c r="T864" s="7" t="str" cm="1">
        <f t="array" ref="T864">_xlfn.IFS(Q863&gt;=8,"Excellent",Q863&gt;=6,"Good",Q863&gt;=4,"Average",TRUE,"Poor")</f>
        <v>Good</v>
      </c>
      <c r="U864" s="9">
        <f t="shared" si="41"/>
        <v>8.2968293432584894E-5</v>
      </c>
      <c r="V864" s="7" t="str" cm="1">
        <f t="array" ref="V864">_xlfn.IFS(HOUR(L863)&lt;12,"Morning",HOUR(L863)&lt;17,"Afternoon",HOUR(L863)&lt;21,"Evening",TRUE,"Night")</f>
        <v>Evening</v>
      </c>
    </row>
    <row r="865" spans="1:22" x14ac:dyDescent="0.3">
      <c r="A865" t="s">
        <v>955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  <c r="R865" s="5" t="str">
        <f t="shared" si="39"/>
        <v>Low Sale</v>
      </c>
      <c r="S865" s="7">
        <f t="shared" si="40"/>
        <v>4.7619047619047619</v>
      </c>
      <c r="T865" s="7" t="str" cm="1">
        <f t="array" ref="T865">_xlfn.IFS(Q864&gt;=8,"Excellent",Q864&gt;=6,"Good",Q864&gt;=4,"Average",TRUE,"Poor")</f>
        <v>Average</v>
      </c>
      <c r="U865" s="9">
        <f t="shared" si="41"/>
        <v>3.3005255287131736E-4</v>
      </c>
      <c r="V865" s="7" t="str" cm="1">
        <f t="array" ref="V865">_xlfn.IFS(HOUR(L864)&lt;12,"Morning",HOUR(L864)&lt;17,"Afternoon",HOUR(L864)&lt;21,"Evening",TRUE,"Night")</f>
        <v>Morning</v>
      </c>
    </row>
    <row r="866" spans="1:22" x14ac:dyDescent="0.3">
      <c r="A866" t="s">
        <v>956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  <c r="R866" s="5" t="str">
        <f t="shared" si="39"/>
        <v>Low Sale</v>
      </c>
      <c r="S866" s="7">
        <f t="shared" si="40"/>
        <v>4.7619047619047619</v>
      </c>
      <c r="T866" s="7" t="str" cm="1">
        <f t="array" ref="T866">_xlfn.IFS(Q865&gt;=8,"Excellent",Q865&gt;=6,"Good",Q865&gt;=4,"Average",TRUE,"Poor")</f>
        <v>Good</v>
      </c>
      <c r="U866" s="9">
        <f t="shared" si="41"/>
        <v>1.162238840878322E-3</v>
      </c>
      <c r="V866" s="7" t="str" cm="1">
        <f t="array" ref="V866">_xlfn.IFS(HOUR(L865)&lt;12,"Morning",HOUR(L865)&lt;17,"Afternoon",HOUR(L865)&lt;21,"Evening",TRUE,"Night")</f>
        <v>Morning</v>
      </c>
    </row>
    <row r="867" spans="1:22" x14ac:dyDescent="0.3">
      <c r="A867" t="s">
        <v>957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  <c r="R867" s="5" t="str">
        <f t="shared" si="39"/>
        <v>Low Sale</v>
      </c>
      <c r="S867" s="7">
        <f t="shared" si="40"/>
        <v>4.7619047619047619</v>
      </c>
      <c r="T867" s="7" t="str" cm="1">
        <f t="array" ref="T867">_xlfn.IFS(Q866&gt;=8,"Excellent",Q866&gt;=6,"Good",Q866&gt;=4,"Average",TRUE,"Poor")</f>
        <v>Good</v>
      </c>
      <c r="U867" s="9">
        <f t="shared" si="41"/>
        <v>7.7626721876560716E-4</v>
      </c>
      <c r="V867" s="7" t="str" cm="1">
        <f t="array" ref="V867">_xlfn.IFS(HOUR(L866)&lt;12,"Morning",HOUR(L866)&lt;17,"Afternoon",HOUR(L866)&lt;21,"Evening",TRUE,"Night")</f>
        <v>Afternoon</v>
      </c>
    </row>
    <row r="868" spans="1:22" x14ac:dyDescent="0.3">
      <c r="A868" t="s">
        <v>958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  <c r="R868" s="5" t="str">
        <f t="shared" si="39"/>
        <v>Low Sale</v>
      </c>
      <c r="S868" s="7">
        <f t="shared" si="40"/>
        <v>4.7619047619047628</v>
      </c>
      <c r="T868" s="7" t="str" cm="1">
        <f t="array" ref="T868">_xlfn.IFS(Q867&gt;=8,"Excellent",Q867&gt;=6,"Good",Q867&gt;=4,"Average",TRUE,"Poor")</f>
        <v>Good</v>
      </c>
      <c r="U868" s="9">
        <f t="shared" si="41"/>
        <v>3.2975995309040304E-4</v>
      </c>
      <c r="V868" s="7" t="str" cm="1">
        <f t="array" ref="V868">_xlfn.IFS(HOUR(L867)&lt;12,"Morning",HOUR(L867)&lt;17,"Afternoon",HOUR(L867)&lt;21,"Evening",TRUE,"Night")</f>
        <v>Afternoon</v>
      </c>
    </row>
    <row r="869" spans="1:22" x14ac:dyDescent="0.3">
      <c r="A869" t="s">
        <v>959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  <c r="R869" s="5" t="str">
        <f t="shared" si="39"/>
        <v>Medium Sale</v>
      </c>
      <c r="S869" s="7">
        <f t="shared" si="40"/>
        <v>4.7619047619047628</v>
      </c>
      <c r="T869" s="7" t="str" cm="1">
        <f t="array" ref="T869">_xlfn.IFS(Q868&gt;=8,"Excellent",Q868&gt;=6,"Good",Q868&gt;=4,"Average",TRUE,"Poor")</f>
        <v>Good</v>
      </c>
      <c r="U869" s="9">
        <f t="shared" si="41"/>
        <v>2.3545829481040471E-3</v>
      </c>
      <c r="V869" s="7" t="str" cm="1">
        <f t="array" ref="V869">_xlfn.IFS(HOUR(L868)&lt;12,"Morning",HOUR(L868)&lt;17,"Afternoon",HOUR(L868)&lt;21,"Evening",TRUE,"Night")</f>
        <v>Afternoon</v>
      </c>
    </row>
    <row r="870" spans="1:22" x14ac:dyDescent="0.3">
      <c r="A870" t="s">
        <v>960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  <c r="R870" s="5" t="str">
        <f t="shared" si="39"/>
        <v>Low Sale</v>
      </c>
      <c r="S870" s="7">
        <f t="shared" si="40"/>
        <v>4.7619047619047628</v>
      </c>
      <c r="T870" s="7" t="str" cm="1">
        <f t="array" ref="T870">_xlfn.IFS(Q869&gt;=8,"Excellent",Q869&gt;=6,"Good",Q869&gt;=4,"Average",TRUE,"Poor")</f>
        <v>Average</v>
      </c>
      <c r="U870" s="9">
        <f t="shared" si="41"/>
        <v>4.0846929415634664E-4</v>
      </c>
      <c r="V870" s="7" t="str" cm="1">
        <f t="array" ref="V870">_xlfn.IFS(HOUR(L869)&lt;12,"Morning",HOUR(L869)&lt;17,"Afternoon",HOUR(L869)&lt;21,"Evening",TRUE,"Night")</f>
        <v>Afternoon</v>
      </c>
    </row>
    <row r="871" spans="1:22" x14ac:dyDescent="0.3">
      <c r="A871" t="s">
        <v>961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5" t="str">
        <f t="shared" si="39"/>
        <v>Low Sale</v>
      </c>
      <c r="S871" s="7">
        <f t="shared" si="40"/>
        <v>4.7619047619047628</v>
      </c>
      <c r="T871" s="7" t="str" cm="1">
        <f t="array" ref="T871">_xlfn.IFS(Q870&gt;=8,"Excellent",Q870&gt;=6,"Good",Q870&gt;=4,"Average",TRUE,"Poor")</f>
        <v>Average</v>
      </c>
      <c r="U871" s="9">
        <f t="shared" si="41"/>
        <v>2.3710335580087838E-4</v>
      </c>
      <c r="V871" s="7" t="str" cm="1">
        <f t="array" ref="V871">_xlfn.IFS(HOUR(L870)&lt;12,"Morning",HOUR(L870)&lt;17,"Afternoon",HOUR(L870)&lt;21,"Evening",TRUE,"Night")</f>
        <v>Evening</v>
      </c>
    </row>
    <row r="872" spans="1:22" x14ac:dyDescent="0.3">
      <c r="A872" t="s">
        <v>962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  <c r="R872" s="5" t="str">
        <f t="shared" si="39"/>
        <v>Low Sale</v>
      </c>
      <c r="S872" s="7">
        <f t="shared" si="40"/>
        <v>4.761904761904761</v>
      </c>
      <c r="T872" s="7" t="str" cm="1">
        <f t="array" ref="T872">_xlfn.IFS(Q871&gt;=8,"Excellent",Q871&gt;=6,"Good",Q871&gt;=4,"Average",TRUE,"Poor")</f>
        <v>Excellent</v>
      </c>
      <c r="U872" s="9">
        <f t="shared" si="41"/>
        <v>8.3995643774461735E-4</v>
      </c>
      <c r="V872" s="7" t="str" cm="1">
        <f t="array" ref="V872">_xlfn.IFS(HOUR(L871)&lt;12,"Morning",HOUR(L871)&lt;17,"Afternoon",HOUR(L871)&lt;21,"Evening",TRUE,"Night")</f>
        <v>Afternoon</v>
      </c>
    </row>
    <row r="873" spans="1:22" x14ac:dyDescent="0.3">
      <c r="A873" t="s">
        <v>963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  <c r="R873" s="5" t="str">
        <f t="shared" si="39"/>
        <v>Low Sale</v>
      </c>
      <c r="S873" s="7">
        <f t="shared" si="40"/>
        <v>4.7619047619047619</v>
      </c>
      <c r="T873" s="7" t="str" cm="1">
        <f t="array" ref="T873">_xlfn.IFS(Q872&gt;=8,"Excellent",Q872&gt;=6,"Good",Q872&gt;=4,"Average",TRUE,"Poor")</f>
        <v>Good</v>
      </c>
      <c r="U873" s="9">
        <f t="shared" si="41"/>
        <v>5.648476215116497E-4</v>
      </c>
      <c r="V873" s="7" t="str" cm="1">
        <f t="array" ref="V873">_xlfn.IFS(HOUR(L872)&lt;12,"Morning",HOUR(L872)&lt;17,"Afternoon",HOUR(L872)&lt;21,"Evening",TRUE,"Night")</f>
        <v>Morning</v>
      </c>
    </row>
    <row r="874" spans="1:22" x14ac:dyDescent="0.3">
      <c r="A874" t="s">
        <v>964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  <c r="R874" s="5" t="str">
        <f t="shared" si="39"/>
        <v>Low Sale</v>
      </c>
      <c r="S874" s="7">
        <f t="shared" si="40"/>
        <v>4.7619047619047619</v>
      </c>
      <c r="T874" s="7" t="str" cm="1">
        <f t="array" ref="T874">_xlfn.IFS(Q873&gt;=8,"Excellent",Q873&gt;=6,"Good",Q873&gt;=4,"Average",TRUE,"Poor")</f>
        <v>Excellent</v>
      </c>
      <c r="U874" s="9">
        <f t="shared" si="41"/>
        <v>1.8368764024063663E-4</v>
      </c>
      <c r="V874" s="7" t="str" cm="1">
        <f t="array" ref="V874">_xlfn.IFS(HOUR(L873)&lt;12,"Morning",HOUR(L873)&lt;17,"Afternoon",HOUR(L873)&lt;21,"Evening",TRUE,"Night")</f>
        <v>Afternoon</v>
      </c>
    </row>
    <row r="875" spans="1:22" x14ac:dyDescent="0.3">
      <c r="A875" t="s">
        <v>965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  <c r="R875" s="5" t="str">
        <f t="shared" si="39"/>
        <v>Low Sale</v>
      </c>
      <c r="S875" s="7">
        <f t="shared" si="40"/>
        <v>4.7619047619047628</v>
      </c>
      <c r="T875" s="7" t="str" cm="1">
        <f t="array" ref="T875">_xlfn.IFS(Q874&gt;=8,"Excellent",Q874&gt;=6,"Good",Q874&gt;=4,"Average",TRUE,"Poor")</f>
        <v>Good</v>
      </c>
      <c r="U875" s="9">
        <f t="shared" si="41"/>
        <v>6.96712589443689E-4</v>
      </c>
      <c r="V875" s="7" t="str" cm="1">
        <f t="array" ref="V875">_xlfn.IFS(HOUR(L874)&lt;12,"Morning",HOUR(L874)&lt;17,"Afternoon",HOUR(L874)&lt;21,"Evening",TRUE,"Night")</f>
        <v>Morning</v>
      </c>
    </row>
    <row r="876" spans="1:22" x14ac:dyDescent="0.3">
      <c r="A876" t="s">
        <v>966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  <c r="R876" s="5" t="str">
        <f t="shared" si="39"/>
        <v>Medium Sale</v>
      </c>
      <c r="S876" s="7">
        <f t="shared" si="40"/>
        <v>4.7619047619047628</v>
      </c>
      <c r="T876" s="7" t="str" cm="1">
        <f t="array" ref="T876">_xlfn.IFS(Q875&gt;=8,"Excellent",Q875&gt;=6,"Good",Q875&gt;=4,"Average",TRUE,"Poor")</f>
        <v>Excellent</v>
      </c>
      <c r="U876" s="9">
        <f t="shared" si="41"/>
        <v>1.7372624325484351E-3</v>
      </c>
      <c r="V876" s="7" t="str" cm="1">
        <f t="array" ref="V876">_xlfn.IFS(HOUR(L875)&lt;12,"Morning",HOUR(L875)&lt;17,"Afternoon",HOUR(L875)&lt;21,"Evening",TRUE,"Night")</f>
        <v>Evening</v>
      </c>
    </row>
    <row r="877" spans="1:22" x14ac:dyDescent="0.3">
      <c r="A877" t="s">
        <v>967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  <c r="R877" s="5" t="str">
        <f t="shared" si="39"/>
        <v>Low Sale</v>
      </c>
      <c r="S877" s="7">
        <f t="shared" si="40"/>
        <v>4.7619047619047628</v>
      </c>
      <c r="T877" s="7" t="str" cm="1">
        <f t="array" ref="T877">_xlfn.IFS(Q876&gt;=8,"Excellent",Q876&gt;=6,"Good",Q876&gt;=4,"Average",TRUE,"Poor")</f>
        <v>Average</v>
      </c>
      <c r="U877" s="9">
        <f t="shared" si="41"/>
        <v>3.0287328433305677E-4</v>
      </c>
      <c r="V877" s="7" t="str" cm="1">
        <f t="array" ref="V877">_xlfn.IFS(HOUR(L876)&lt;12,"Morning",HOUR(L876)&lt;17,"Afternoon",HOUR(L876)&lt;21,"Evening",TRUE,"Night")</f>
        <v>Morning</v>
      </c>
    </row>
    <row r="878" spans="1:22" x14ac:dyDescent="0.3">
      <c r="A878" t="s">
        <v>968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  <c r="R878" s="5" t="str">
        <f t="shared" si="39"/>
        <v>Medium Sale</v>
      </c>
      <c r="S878" s="7">
        <f t="shared" si="40"/>
        <v>4.7619047619047628</v>
      </c>
      <c r="T878" s="7" t="str" cm="1">
        <f t="array" ref="T878">_xlfn.IFS(Q877&gt;=8,"Excellent",Q877&gt;=6,"Good",Q877&gt;=4,"Average",TRUE,"Poor")</f>
        <v>Good</v>
      </c>
      <c r="U878" s="9">
        <f t="shared" si="41"/>
        <v>1.6973388179970187E-3</v>
      </c>
      <c r="V878" s="7" t="str" cm="1">
        <f t="array" ref="V878">_xlfn.IFS(HOUR(L877)&lt;12,"Morning",HOUR(L877)&lt;17,"Afternoon",HOUR(L877)&lt;21,"Evening",TRUE,"Night")</f>
        <v>Afternoon</v>
      </c>
    </row>
    <row r="879" spans="1:22" x14ac:dyDescent="0.3">
      <c r="A879" t="s">
        <v>969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  <c r="R879" s="5" t="str">
        <f t="shared" si="39"/>
        <v>Low Sale</v>
      </c>
      <c r="S879" s="7">
        <f t="shared" si="40"/>
        <v>4.7619047619047628</v>
      </c>
      <c r="T879" s="7" t="str" cm="1">
        <f t="array" ref="T879">_xlfn.IFS(Q878&gt;=8,"Excellent",Q878&gt;=6,"Good",Q878&gt;=4,"Average",TRUE,"Poor")</f>
        <v>Average</v>
      </c>
      <c r="U879" s="9">
        <f t="shared" si="41"/>
        <v>1.7019553923181111E-4</v>
      </c>
      <c r="V879" s="7" t="str" cm="1">
        <f t="array" ref="V879">_xlfn.IFS(HOUR(L878)&lt;12,"Morning",HOUR(L878)&lt;17,"Afternoon",HOUR(L878)&lt;21,"Evening",TRUE,"Night")</f>
        <v>Evening</v>
      </c>
    </row>
    <row r="880" spans="1:22" x14ac:dyDescent="0.3">
      <c r="A880" t="s">
        <v>970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257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  <c r="R880" s="5" t="str">
        <f t="shared" si="39"/>
        <v>Low Sale</v>
      </c>
      <c r="S880" s="7">
        <f t="shared" si="40"/>
        <v>4.7619047619047628</v>
      </c>
      <c r="T880" s="7" t="str" cm="1">
        <f t="array" ref="T880">_xlfn.IFS(Q879&gt;=8,"Excellent",Q879&gt;=6,"Good",Q879&gt;=4,"Average",TRUE,"Poor")</f>
        <v>Good</v>
      </c>
      <c r="U880" s="9">
        <f t="shared" si="41"/>
        <v>1.2923156990381072E-4</v>
      </c>
      <c r="V880" s="7" t="str" cm="1">
        <f t="array" ref="V880">_xlfn.IFS(HOUR(L879)&lt;12,"Morning",HOUR(L879)&lt;17,"Afternoon",HOUR(L879)&lt;21,"Evening",TRUE,"Night")</f>
        <v>Evening</v>
      </c>
    </row>
    <row r="881" spans="1:22" x14ac:dyDescent="0.3">
      <c r="A881" t="s">
        <v>971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  <c r="R881" s="5" t="str">
        <f t="shared" si="39"/>
        <v>Medium Sale</v>
      </c>
      <c r="S881" s="7">
        <f t="shared" si="40"/>
        <v>4.7619047619047628</v>
      </c>
      <c r="T881" s="7" t="str" cm="1">
        <f t="array" ref="T881">_xlfn.IFS(Q880&gt;=8,"Excellent",Q880&gt;=6,"Good",Q880&gt;=4,"Average",TRUE,"Poor")</f>
        <v>Average</v>
      </c>
      <c r="U881" s="9">
        <f t="shared" si="41"/>
        <v>2.3413184247025993E-3</v>
      </c>
      <c r="V881" s="7" t="str" cm="1">
        <f t="array" ref="V881">_xlfn.IFS(HOUR(L880)&lt;12,"Morning",HOUR(L880)&lt;17,"Afternoon",HOUR(L880)&lt;21,"Evening",TRUE,"Night")</f>
        <v>Afternoon</v>
      </c>
    </row>
    <row r="882" spans="1:22" x14ac:dyDescent="0.3">
      <c r="A882" t="s">
        <v>972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  <c r="R882" s="5" t="str">
        <f t="shared" si="39"/>
        <v>Low Sale</v>
      </c>
      <c r="S882" s="7">
        <f t="shared" si="40"/>
        <v>4.7619047619047619</v>
      </c>
      <c r="T882" s="7" t="str" cm="1">
        <f t="array" ref="T882">_xlfn.IFS(Q881&gt;=8,"Excellent",Q881&gt;=6,"Good",Q881&gt;=4,"Average",TRUE,"Poor")</f>
        <v>Excellent</v>
      </c>
      <c r="U882" s="9">
        <f t="shared" si="41"/>
        <v>3.1470731991670132E-4</v>
      </c>
      <c r="V882" s="7" t="str" cm="1">
        <f t="array" ref="V882">_xlfn.IFS(HOUR(L881)&lt;12,"Morning",HOUR(L881)&lt;17,"Afternoon",HOUR(L881)&lt;21,"Evening",TRUE,"Night")</f>
        <v>Morning</v>
      </c>
    </row>
    <row r="883" spans="1:22" x14ac:dyDescent="0.3">
      <c r="A883" t="s">
        <v>973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  <c r="R883" s="5" t="str">
        <f t="shared" si="39"/>
        <v>Low Sale</v>
      </c>
      <c r="S883" s="7">
        <f t="shared" si="40"/>
        <v>4.7619047619047628</v>
      </c>
      <c r="T883" s="7" t="str" cm="1">
        <f t="array" ref="T883">_xlfn.IFS(Q882&gt;=8,"Excellent",Q882&gt;=6,"Good",Q882&gt;=4,"Average",TRUE,"Poor")</f>
        <v>Good</v>
      </c>
      <c r="U883" s="9">
        <f t="shared" si="41"/>
        <v>1.0796931915737242E-3</v>
      </c>
      <c r="V883" s="7" t="str" cm="1">
        <f t="array" ref="V883">_xlfn.IFS(HOUR(L882)&lt;12,"Morning",HOUR(L882)&lt;17,"Afternoon",HOUR(L882)&lt;21,"Evening",TRUE,"Night")</f>
        <v>Afternoon</v>
      </c>
    </row>
    <row r="884" spans="1:22" x14ac:dyDescent="0.3">
      <c r="A884" t="s">
        <v>974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  <c r="R884" s="5" t="str">
        <f t="shared" si="39"/>
        <v>Low Sale</v>
      </c>
      <c r="S884" s="7">
        <f t="shared" si="40"/>
        <v>4.7619047619047619</v>
      </c>
      <c r="T884" s="7" t="str" cm="1">
        <f t="array" ref="T884">_xlfn.IFS(Q883&gt;=8,"Excellent",Q883&gt;=6,"Good",Q883&gt;=4,"Average",TRUE,"Poor")</f>
        <v>Excellent</v>
      </c>
      <c r="U884" s="9">
        <f t="shared" si="41"/>
        <v>2.647702906406628E-4</v>
      </c>
      <c r="V884" s="7" t="str" cm="1">
        <f t="array" ref="V884">_xlfn.IFS(HOUR(L883)&lt;12,"Morning",HOUR(L883)&lt;17,"Afternoon",HOUR(L883)&lt;21,"Evening",TRUE,"Night")</f>
        <v>Afternoon</v>
      </c>
    </row>
    <row r="885" spans="1:22" x14ac:dyDescent="0.3">
      <c r="A885" t="s">
        <v>975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  <c r="R885" s="5" t="str">
        <f t="shared" si="39"/>
        <v>Low Sale</v>
      </c>
      <c r="S885" s="7">
        <f t="shared" si="40"/>
        <v>4.7619047619047619</v>
      </c>
      <c r="T885" s="7" t="str" cm="1">
        <f t="array" ref="T885">_xlfn.IFS(Q884&gt;=8,"Excellent",Q884&gt;=6,"Good",Q884&gt;=4,"Average",TRUE,"Poor")</f>
        <v>Excellent</v>
      </c>
      <c r="U885" s="9">
        <f t="shared" si="41"/>
        <v>1.040029665716454E-3</v>
      </c>
      <c r="V885" s="7" t="str" cm="1">
        <f t="array" ref="V885">_xlfn.IFS(HOUR(L884)&lt;12,"Morning",HOUR(L884)&lt;17,"Afternoon",HOUR(L884)&lt;21,"Evening",TRUE,"Night")</f>
        <v>Afternoon</v>
      </c>
    </row>
    <row r="886" spans="1:22" x14ac:dyDescent="0.3">
      <c r="A886" t="s">
        <v>976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  <c r="R886" s="5" t="str">
        <f t="shared" si="39"/>
        <v>Low Sale</v>
      </c>
      <c r="S886" s="7">
        <f t="shared" si="40"/>
        <v>4.7619047619047628</v>
      </c>
      <c r="T886" s="7" t="str" cm="1">
        <f t="array" ref="T886">_xlfn.IFS(Q885&gt;=8,"Excellent",Q885&gt;=6,"Good",Q885&gt;=4,"Average",TRUE,"Poor")</f>
        <v>Good</v>
      </c>
      <c r="U886" s="9">
        <f t="shared" si="41"/>
        <v>6.7141896393798717E-4</v>
      </c>
      <c r="V886" s="7" t="str" cm="1">
        <f t="array" ref="V886">_xlfn.IFS(HOUR(L885)&lt;12,"Morning",HOUR(L885)&lt;17,"Afternoon",HOUR(L885)&lt;21,"Evening",TRUE,"Night")</f>
        <v>Afternoon</v>
      </c>
    </row>
    <row r="887" spans="1:22" x14ac:dyDescent="0.3">
      <c r="A887" t="s">
        <v>977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  <c r="R887" s="5" t="str">
        <f t="shared" si="39"/>
        <v>Low Sale</v>
      </c>
      <c r="S887" s="7">
        <f t="shared" si="40"/>
        <v>4.7619047619047619</v>
      </c>
      <c r="T887" s="7" t="str" cm="1">
        <f t="array" ref="T887">_xlfn.IFS(Q886&gt;=8,"Excellent",Q886&gt;=6,"Good",Q886&gt;=4,"Average",TRUE,"Poor")</f>
        <v>Good</v>
      </c>
      <c r="U887" s="9">
        <f t="shared" si="41"/>
        <v>5.4189479425326224E-4</v>
      </c>
      <c r="V887" s="7" t="str" cm="1">
        <f t="array" ref="V887">_xlfn.IFS(HOUR(L886)&lt;12,"Morning",HOUR(L886)&lt;17,"Afternoon",HOUR(L886)&lt;21,"Evening",TRUE,"Night")</f>
        <v>Afternoon</v>
      </c>
    </row>
    <row r="888" spans="1:22" x14ac:dyDescent="0.3">
      <c r="A888" t="s">
        <v>978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  <c r="R888" s="5" t="str">
        <f t="shared" si="39"/>
        <v>Low Sale</v>
      </c>
      <c r="S888" s="7">
        <f t="shared" si="40"/>
        <v>4.7619047619047628</v>
      </c>
      <c r="T888" s="7" t="str" cm="1">
        <f t="array" ref="T888">_xlfn.IFS(Q887&gt;=8,"Excellent",Q887&gt;=6,"Good",Q887&gt;=4,"Average",TRUE,"Poor")</f>
        <v>Average</v>
      </c>
      <c r="U888" s="9">
        <f t="shared" si="41"/>
        <v>1.0372987344279207E-3</v>
      </c>
      <c r="V888" s="7" t="str" cm="1">
        <f t="array" ref="V888">_xlfn.IFS(HOUR(L887)&lt;12,"Morning",HOUR(L887)&lt;17,"Afternoon",HOUR(L887)&lt;21,"Evening",TRUE,"Night")</f>
        <v>Morning</v>
      </c>
    </row>
    <row r="889" spans="1:22" x14ac:dyDescent="0.3">
      <c r="A889" t="s">
        <v>979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  <c r="R889" s="5" t="str">
        <f t="shared" si="39"/>
        <v>Low Sale</v>
      </c>
      <c r="S889" s="7">
        <f t="shared" si="40"/>
        <v>4.7619047619047619</v>
      </c>
      <c r="T889" s="7" t="str" cm="1">
        <f t="array" ref="T889">_xlfn.IFS(Q888&gt;=8,"Excellent",Q888&gt;=6,"Good",Q888&gt;=4,"Average",TRUE,"Poor")</f>
        <v>Good</v>
      </c>
      <c r="U889" s="9">
        <f t="shared" si="41"/>
        <v>2.8577245269295501E-4</v>
      </c>
      <c r="V889" s="7" t="str" cm="1">
        <f t="array" ref="V889">_xlfn.IFS(HOUR(L888)&lt;12,"Morning",HOUR(L888)&lt;17,"Afternoon",HOUR(L888)&lt;21,"Evening",TRUE,"Night")</f>
        <v>Evening</v>
      </c>
    </row>
    <row r="890" spans="1:22" x14ac:dyDescent="0.3">
      <c r="A890" t="s">
        <v>980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  <c r="R890" s="5" t="str">
        <f t="shared" si="39"/>
        <v>Medium Sale</v>
      </c>
      <c r="S890" s="7">
        <f t="shared" si="40"/>
        <v>4.7619047619047628</v>
      </c>
      <c r="T890" s="7" t="str" cm="1">
        <f t="array" ref="T890">_xlfn.IFS(Q889&gt;=8,"Excellent",Q889&gt;=6,"Good",Q889&gt;=4,"Average",TRUE,"Poor")</f>
        <v>Excellent</v>
      </c>
      <c r="U890" s="9">
        <f t="shared" si="41"/>
        <v>2.3885895448636412E-3</v>
      </c>
      <c r="V890" s="7" t="str" cm="1">
        <f t="array" ref="V890">_xlfn.IFS(HOUR(L889)&lt;12,"Morning",HOUR(L889)&lt;17,"Afternoon",HOUR(L889)&lt;21,"Evening",TRUE,"Night")</f>
        <v>Afternoon</v>
      </c>
    </row>
    <row r="891" spans="1:22" x14ac:dyDescent="0.3">
      <c r="A891" t="s">
        <v>981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  <c r="R891" s="5" t="str">
        <f t="shared" si="39"/>
        <v>Low Sale</v>
      </c>
      <c r="S891" s="7">
        <f t="shared" si="40"/>
        <v>4.7619047619047628</v>
      </c>
      <c r="T891" s="7" t="str" cm="1">
        <f t="array" ref="T891">_xlfn.IFS(Q890&gt;=8,"Excellent",Q890&gt;=6,"Good",Q890&gt;=4,"Average",TRUE,"Poor")</f>
        <v>Good</v>
      </c>
      <c r="U891" s="9">
        <f t="shared" si="41"/>
        <v>3.1704811816401563E-4</v>
      </c>
      <c r="V891" s="7" t="str" cm="1">
        <f t="array" ref="V891">_xlfn.IFS(HOUR(L890)&lt;12,"Morning",HOUR(L890)&lt;17,"Afternoon",HOUR(L890)&lt;21,"Evening",TRUE,"Night")</f>
        <v>Afternoon</v>
      </c>
    </row>
    <row r="892" spans="1:22" x14ac:dyDescent="0.3">
      <c r="A892" t="s">
        <v>982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304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  <c r="R892" s="5" t="str">
        <f t="shared" si="39"/>
        <v>Medium Sale</v>
      </c>
      <c r="S892" s="7">
        <f t="shared" si="40"/>
        <v>4.7619047619047628</v>
      </c>
      <c r="T892" s="7" t="str" cm="1">
        <f t="array" ref="T892">_xlfn.IFS(Q891&gt;=8,"Excellent",Q891&gt;=6,"Good",Q891&gt;=4,"Average",TRUE,"Poor")</f>
        <v>Average</v>
      </c>
      <c r="U892" s="9">
        <f t="shared" si="41"/>
        <v>2.5007527942141183E-3</v>
      </c>
      <c r="V892" s="7" t="str" cm="1">
        <f t="array" ref="V892">_xlfn.IFS(HOUR(L891)&lt;12,"Morning",HOUR(L891)&lt;17,"Afternoon",HOUR(L891)&lt;21,"Evening",TRUE,"Night")</f>
        <v>Evening</v>
      </c>
    </row>
    <row r="893" spans="1:22" x14ac:dyDescent="0.3">
      <c r="A893" t="s">
        <v>983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  <c r="R893" s="5" t="str">
        <f t="shared" si="39"/>
        <v>Low Sale</v>
      </c>
      <c r="S893" s="7">
        <f t="shared" si="40"/>
        <v>4.7619047619047619</v>
      </c>
      <c r="T893" s="7" t="str" cm="1">
        <f t="array" ref="T893">_xlfn.IFS(Q892&gt;=8,"Excellent",Q892&gt;=6,"Good",Q892&gt;=4,"Average",TRUE,"Poor")</f>
        <v>Good</v>
      </c>
      <c r="U893" s="9">
        <f t="shared" si="41"/>
        <v>1.3599387595160761E-3</v>
      </c>
      <c r="V893" s="7" t="str" cm="1">
        <f t="array" ref="V893">_xlfn.IFS(HOUR(L892)&lt;12,"Morning",HOUR(L892)&lt;17,"Afternoon",HOUR(L892)&lt;21,"Evening",TRUE,"Night")</f>
        <v>Morning</v>
      </c>
    </row>
    <row r="894" spans="1:22" x14ac:dyDescent="0.3">
      <c r="A894" t="s">
        <v>984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  <c r="R894" s="5" t="str">
        <f t="shared" si="39"/>
        <v>Low Sale</v>
      </c>
      <c r="S894" s="7">
        <f t="shared" si="40"/>
        <v>4.7619047619047628</v>
      </c>
      <c r="T894" s="7" t="str" cm="1">
        <f t="array" ref="T894">_xlfn.IFS(Q893&gt;=8,"Excellent",Q893&gt;=6,"Good",Q893&gt;=4,"Average",TRUE,"Poor")</f>
        <v>Excellent</v>
      </c>
      <c r="U894" s="9">
        <f t="shared" si="41"/>
        <v>1.5061736277996837E-3</v>
      </c>
      <c r="V894" s="7" t="str" cm="1">
        <f t="array" ref="V894">_xlfn.IFS(HOUR(L893)&lt;12,"Morning",HOUR(L893)&lt;17,"Afternoon",HOUR(L893)&lt;21,"Evening",TRUE,"Night")</f>
        <v>Afternoon</v>
      </c>
    </row>
    <row r="895" spans="1:22" x14ac:dyDescent="0.3">
      <c r="A895" t="s">
        <v>985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  <c r="R895" s="5" t="str">
        <f t="shared" si="39"/>
        <v>Low Sale</v>
      </c>
      <c r="S895" s="7">
        <f t="shared" si="40"/>
        <v>4.7619047619047619</v>
      </c>
      <c r="T895" s="7" t="str" cm="1">
        <f t="array" ref="T895">_xlfn.IFS(Q894&gt;=8,"Excellent",Q894&gt;=6,"Good",Q894&gt;=4,"Average",TRUE,"Poor")</f>
        <v>Excellent</v>
      </c>
      <c r="U895" s="9">
        <f t="shared" si="41"/>
        <v>1.5034752075979187E-3</v>
      </c>
      <c r="V895" s="7" t="str" cm="1">
        <f t="array" ref="V895">_xlfn.IFS(HOUR(L894)&lt;12,"Morning",HOUR(L894)&lt;17,"Afternoon",HOUR(L894)&lt;21,"Evening",TRUE,"Night")</f>
        <v>Afternoon</v>
      </c>
    </row>
    <row r="896" spans="1:22" x14ac:dyDescent="0.3">
      <c r="A896" t="s">
        <v>986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  <c r="R896" s="5" t="str">
        <f t="shared" si="39"/>
        <v>Low Sale</v>
      </c>
      <c r="S896" s="7">
        <f t="shared" si="40"/>
        <v>4.7619047619047619</v>
      </c>
      <c r="T896" s="7" t="str" cm="1">
        <f t="array" ref="T896">_xlfn.IFS(Q895&gt;=8,"Excellent",Q895&gt;=6,"Good",Q895&gt;=4,"Average",TRUE,"Poor")</f>
        <v>Excellent</v>
      </c>
      <c r="U896" s="9">
        <f t="shared" si="41"/>
        <v>4.6133232124152807E-4</v>
      </c>
      <c r="V896" s="7" t="str" cm="1">
        <f t="array" ref="V896">_xlfn.IFS(HOUR(L895)&lt;12,"Morning",HOUR(L895)&lt;17,"Afternoon",HOUR(L895)&lt;21,"Evening",TRUE,"Night")</f>
        <v>Evening</v>
      </c>
    </row>
    <row r="897" spans="1:22" x14ac:dyDescent="0.3">
      <c r="A897" t="s">
        <v>987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  <c r="R897" s="5" t="str">
        <f t="shared" si="39"/>
        <v>Low Sale</v>
      </c>
      <c r="S897" s="7">
        <f t="shared" si="40"/>
        <v>4.7619047619047628</v>
      </c>
      <c r="T897" s="7" t="str" cm="1">
        <f t="array" ref="T897">_xlfn.IFS(Q896&gt;=8,"Excellent",Q896&gt;=6,"Good",Q896&gt;=4,"Average",TRUE,"Poor")</f>
        <v>Excellent</v>
      </c>
      <c r="U897" s="9">
        <f t="shared" si="41"/>
        <v>9.8411059647505669E-4</v>
      </c>
      <c r="V897" s="7" t="str" cm="1">
        <f t="array" ref="V897">_xlfn.IFS(HOUR(L896)&lt;12,"Morning",HOUR(L896)&lt;17,"Afternoon",HOUR(L896)&lt;21,"Evening",TRUE,"Night")</f>
        <v>Afternoon</v>
      </c>
    </row>
    <row r="898" spans="1:22" x14ac:dyDescent="0.3">
      <c r="A898" t="s">
        <v>988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  <c r="R898" s="5" t="str">
        <f t="shared" si="39"/>
        <v>Medium Sale</v>
      </c>
      <c r="S898" s="7">
        <f t="shared" si="40"/>
        <v>4.7619047619047628</v>
      </c>
      <c r="T898" s="7" t="str" cm="1">
        <f t="array" ref="T898">_xlfn.IFS(Q897&gt;=8,"Excellent",Q897&gt;=6,"Good",Q897&gt;=4,"Average",TRUE,"Poor")</f>
        <v>Average</v>
      </c>
      <c r="U898" s="9">
        <f t="shared" si="41"/>
        <v>2.5790394911520747E-3</v>
      </c>
      <c r="V898" s="7" t="str" cm="1">
        <f t="array" ref="V898">_xlfn.IFS(HOUR(L897)&lt;12,"Morning",HOUR(L897)&lt;17,"Afternoon",HOUR(L897)&lt;21,"Evening",TRUE,"Night")</f>
        <v>Evening</v>
      </c>
    </row>
    <row r="899" spans="1:22" x14ac:dyDescent="0.3">
      <c r="A899" t="s">
        <v>989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5" t="str">
        <f t="shared" si="39"/>
        <v>Low Sale</v>
      </c>
      <c r="S899" s="7">
        <f t="shared" si="40"/>
        <v>4.7619047619047619</v>
      </c>
      <c r="T899" s="7" t="str" cm="1">
        <f t="array" ref="T899">_xlfn.IFS(Q898&gt;=8,"Excellent",Q898&gt;=6,"Good",Q898&gt;=4,"Average",TRUE,"Poor")</f>
        <v>Average</v>
      </c>
      <c r="U899" s="9">
        <f t="shared" si="41"/>
        <v>1.382306387212635E-3</v>
      </c>
      <c r="V899" s="7" t="str" cm="1">
        <f t="array" ref="V899">_xlfn.IFS(HOUR(L898)&lt;12,"Morning",HOUR(L898)&lt;17,"Afternoon",HOUR(L898)&lt;21,"Evening",TRUE,"Night")</f>
        <v>Afternoon</v>
      </c>
    </row>
    <row r="900" spans="1:22" x14ac:dyDescent="0.3">
      <c r="A900" t="s">
        <v>990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s="5" t="str">
        <f t="shared" ref="R900:R963" si="42">IF(J899&gt;=1000,"High Sale",IF(J899&gt;=500,"Medium Sale","Low Sale"))</f>
        <v>Low Sale</v>
      </c>
      <c r="S900" s="7">
        <f t="shared" ref="S900:S963" si="43">(P899/J899)*100</f>
        <v>4.7619047619047619</v>
      </c>
      <c r="T900" s="7" t="str" cm="1">
        <f t="array" ref="T900">_xlfn.IFS(Q899&gt;=8,"Excellent",Q899&gt;=6,"Good",Q899&gt;=4,"Average",TRUE,"Poor")</f>
        <v>Excellent</v>
      </c>
      <c r="U900" s="9">
        <f t="shared" ref="U900:U963" si="44">J899/SUM($J$2:$J$1001)</f>
        <v>9.220794429212276E-4</v>
      </c>
      <c r="V900" s="7" t="str" cm="1">
        <f t="array" ref="V900">_xlfn.IFS(HOUR(L899)&lt;12,"Morning",HOUR(L899)&lt;17,"Afternoon",HOUR(L899)&lt;21,"Evening",TRUE,"Night")</f>
        <v>Morning</v>
      </c>
    </row>
    <row r="901" spans="1:22" x14ac:dyDescent="0.3">
      <c r="A901" t="s">
        <v>991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5" t="str">
        <f t="shared" si="42"/>
        <v>Medium Sale</v>
      </c>
      <c r="S901" s="7">
        <f t="shared" si="43"/>
        <v>4.7619047619047628</v>
      </c>
      <c r="T901" s="7" t="str" cm="1">
        <f t="array" ref="T901">_xlfn.IFS(Q900&gt;=8,"Excellent",Q900&gt;=6,"Good",Q900&gt;=4,"Average",TRUE,"Poor")</f>
        <v>Average</v>
      </c>
      <c r="U901" s="9">
        <f t="shared" si="44"/>
        <v>1.9480643191537956E-3</v>
      </c>
      <c r="V901" s="7" t="str" cm="1">
        <f t="array" ref="V901">_xlfn.IFS(HOUR(L900)&lt;12,"Morning",HOUR(L900)&lt;17,"Afternoon",HOUR(L900)&lt;21,"Evening",TRUE,"Night")</f>
        <v>Afternoon</v>
      </c>
    </row>
    <row r="902" spans="1:22" x14ac:dyDescent="0.3">
      <c r="A902" t="s">
        <v>992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286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  <c r="R902" s="5" t="str">
        <f t="shared" si="42"/>
        <v>Low Sale</v>
      </c>
      <c r="S902" s="7">
        <f t="shared" si="43"/>
        <v>4.7619047619047628</v>
      </c>
      <c r="T902" s="7" t="str" cm="1">
        <f t="array" ref="T902">_xlfn.IFS(Q901&gt;=8,"Excellent",Q901&gt;=6,"Good",Q901&gt;=4,"Average",TRUE,"Poor")</f>
        <v>Average</v>
      </c>
      <c r="U902" s="9">
        <f t="shared" si="44"/>
        <v>1.0252696323236666E-3</v>
      </c>
      <c r="V902" s="7" t="str" cm="1">
        <f t="array" ref="V902">_xlfn.IFS(HOUR(L901)&lt;12,"Morning",HOUR(L901)&lt;17,"Afternoon",HOUR(L901)&lt;21,"Evening",TRUE,"Night")</f>
        <v>Evening</v>
      </c>
    </row>
    <row r="903" spans="1:22" x14ac:dyDescent="0.3">
      <c r="A903" t="s">
        <v>993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5" t="str">
        <f t="shared" si="42"/>
        <v>Low Sale</v>
      </c>
      <c r="S903" s="7">
        <f t="shared" si="43"/>
        <v>4.7619047619047628</v>
      </c>
      <c r="T903" s="7" t="str" cm="1">
        <f t="array" ref="T903">_xlfn.IFS(Q902&gt;=8,"Excellent",Q902&gt;=6,"Good",Q902&gt;=4,"Average",TRUE,"Poor")</f>
        <v>Good</v>
      </c>
      <c r="U903" s="9">
        <f t="shared" si="44"/>
        <v>1.3120174176196693E-3</v>
      </c>
      <c r="V903" s="7" t="str" cm="1">
        <f t="array" ref="V903">_xlfn.IFS(HOUR(L902)&lt;12,"Morning",HOUR(L902)&lt;17,"Afternoon",HOUR(L902)&lt;21,"Evening",TRUE,"Night")</f>
        <v>Afternoon</v>
      </c>
    </row>
    <row r="904" spans="1:22" x14ac:dyDescent="0.3">
      <c r="A904" t="s">
        <v>994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  <c r="R904" s="5" t="str">
        <f t="shared" si="42"/>
        <v>Low Sale</v>
      </c>
      <c r="S904" s="7">
        <f t="shared" si="43"/>
        <v>4.7619047619047628</v>
      </c>
      <c r="T904" s="7" t="str" cm="1">
        <f t="array" ref="T904">_xlfn.IFS(Q903&gt;=8,"Excellent",Q903&gt;=6,"Good",Q903&gt;=4,"Average",TRUE,"Poor")</f>
        <v>Average</v>
      </c>
      <c r="U904" s="9">
        <f t="shared" si="44"/>
        <v>5.9781386349465955E-4</v>
      </c>
      <c r="V904" s="7" t="str" cm="1">
        <f t="array" ref="V904">_xlfn.IFS(HOUR(L903)&lt;12,"Morning",HOUR(L903)&lt;17,"Afternoon",HOUR(L903)&lt;21,"Evening",TRUE,"Night")</f>
        <v>Afternoon</v>
      </c>
    </row>
    <row r="905" spans="1:22" x14ac:dyDescent="0.3">
      <c r="A905" t="s">
        <v>995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  <c r="R905" s="5" t="str">
        <f t="shared" si="42"/>
        <v>Low Sale</v>
      </c>
      <c r="S905" s="7">
        <f t="shared" si="43"/>
        <v>4.7619047619047619</v>
      </c>
      <c r="T905" s="7" t="str" cm="1">
        <f t="array" ref="T905">_xlfn.IFS(Q904&gt;=8,"Excellent",Q904&gt;=6,"Good",Q904&gt;=4,"Average",TRUE,"Poor")</f>
        <v>Average</v>
      </c>
      <c r="U905" s="9">
        <f t="shared" si="44"/>
        <v>4.507662180418455E-4</v>
      </c>
      <c r="V905" s="7" t="str" cm="1">
        <f t="array" ref="V905">_xlfn.IFS(HOUR(L904)&lt;12,"Morning",HOUR(L904)&lt;17,"Afternoon",HOUR(L904)&lt;21,"Evening",TRUE,"Night")</f>
        <v>Evening</v>
      </c>
    </row>
    <row r="906" spans="1:22" x14ac:dyDescent="0.3">
      <c r="A906" t="s">
        <v>996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  <c r="R906" s="5" t="str">
        <f t="shared" si="42"/>
        <v>Low Sale</v>
      </c>
      <c r="S906" s="7">
        <f t="shared" si="43"/>
        <v>4.7619047619047619</v>
      </c>
      <c r="T906" s="7" t="str" cm="1">
        <f t="array" ref="T906">_xlfn.IFS(Q905&gt;=8,"Excellent",Q905&gt;=6,"Good",Q905&gt;=4,"Average",TRUE,"Poor")</f>
        <v>Excellent</v>
      </c>
      <c r="U906" s="9">
        <f t="shared" si="44"/>
        <v>2.6239698130658024E-4</v>
      </c>
      <c r="V906" s="7" t="str" cm="1">
        <f t="array" ref="V906">_xlfn.IFS(HOUR(L905)&lt;12,"Morning",HOUR(L905)&lt;17,"Afternoon",HOUR(L905)&lt;21,"Evening",TRUE,"Night")</f>
        <v>Evening</v>
      </c>
    </row>
    <row r="907" spans="1:22" x14ac:dyDescent="0.3">
      <c r="A907" t="s">
        <v>997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  <c r="R907" s="5" t="str">
        <f t="shared" si="42"/>
        <v>Low Sale</v>
      </c>
      <c r="S907" s="7">
        <f t="shared" si="43"/>
        <v>4.7619047619047628</v>
      </c>
      <c r="T907" s="7" t="str" cm="1">
        <f t="array" ref="T907">_xlfn.IFS(Q906&gt;=8,"Excellent",Q906&gt;=6,"Good",Q906&gt;=4,"Average",TRUE,"Poor")</f>
        <v>Good</v>
      </c>
      <c r="U907" s="9">
        <f t="shared" si="44"/>
        <v>3.7920931606491776E-4</v>
      </c>
      <c r="V907" s="7" t="str" cm="1">
        <f t="array" ref="V907">_xlfn.IFS(HOUR(L906)&lt;12,"Morning",HOUR(L906)&lt;17,"Afternoon",HOUR(L906)&lt;21,"Evening",TRUE,"Night")</f>
        <v>Afternoon</v>
      </c>
    </row>
    <row r="908" spans="1:22" x14ac:dyDescent="0.3">
      <c r="A908" t="s">
        <v>998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  <c r="R908" s="5" t="str">
        <f t="shared" si="42"/>
        <v>Low Sale</v>
      </c>
      <c r="S908" s="7">
        <f t="shared" si="43"/>
        <v>4.7619047619047619</v>
      </c>
      <c r="T908" s="7" t="str" cm="1">
        <f t="array" ref="T908">_xlfn.IFS(Q907&gt;=8,"Excellent",Q907&gt;=6,"Good",Q907&gt;=4,"Average",TRUE,"Poor")</f>
        <v>Good</v>
      </c>
      <c r="U908" s="9">
        <f t="shared" si="44"/>
        <v>1.019287592358308E-3</v>
      </c>
      <c r="V908" s="7" t="str" cm="1">
        <f t="array" ref="V908">_xlfn.IFS(HOUR(L907)&lt;12,"Morning",HOUR(L907)&lt;17,"Afternoon",HOUR(L907)&lt;21,"Evening",TRUE,"Night")</f>
        <v>Evening</v>
      </c>
    </row>
    <row r="909" spans="1:22" x14ac:dyDescent="0.3">
      <c r="A909" t="s">
        <v>999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  <c r="R909" s="5" t="str">
        <f t="shared" si="42"/>
        <v>Medium Sale</v>
      </c>
      <c r="S909" s="7">
        <f t="shared" si="43"/>
        <v>4.7619047619047628</v>
      </c>
      <c r="T909" s="7" t="str" cm="1">
        <f t="array" ref="T909">_xlfn.IFS(Q908&gt;=8,"Excellent",Q908&gt;=6,"Good",Q908&gt;=4,"Average",TRUE,"Poor")</f>
        <v>Excellent</v>
      </c>
      <c r="U909" s="9">
        <f t="shared" si="44"/>
        <v>2.7507630514619938E-3</v>
      </c>
      <c r="V909" s="7" t="str" cm="1">
        <f t="array" ref="V909">_xlfn.IFS(HOUR(L908)&lt;12,"Morning",HOUR(L908)&lt;17,"Afternoon",HOUR(L908)&lt;21,"Evening",TRUE,"Night")</f>
        <v>Evening</v>
      </c>
    </row>
    <row r="910" spans="1:22" x14ac:dyDescent="0.3">
      <c r="A910" t="s">
        <v>1000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  <c r="R910" s="5" t="str">
        <f t="shared" si="42"/>
        <v>Low Sale</v>
      </c>
      <c r="S910" s="7">
        <f t="shared" si="43"/>
        <v>4.7619047619047619</v>
      </c>
      <c r="T910" s="7" t="str" cm="1">
        <f t="array" ref="T910">_xlfn.IFS(Q909&gt;=8,"Excellent",Q909&gt;=6,"Good",Q909&gt;=4,"Average",TRUE,"Poor")</f>
        <v>Good</v>
      </c>
      <c r="U910" s="9">
        <f t="shared" si="44"/>
        <v>1.3472594356764569E-3</v>
      </c>
      <c r="V910" s="7" t="str" cm="1">
        <f t="array" ref="V910">_xlfn.IFS(HOUR(L909)&lt;12,"Morning",HOUR(L909)&lt;17,"Afternoon",HOUR(L909)&lt;21,"Evening",TRUE,"Night")</f>
        <v>Afternoon</v>
      </c>
    </row>
    <row r="911" spans="1:22" x14ac:dyDescent="0.3">
      <c r="A911" t="s">
        <v>1001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  <c r="R911" s="5" t="str">
        <f t="shared" si="42"/>
        <v>Low Sale</v>
      </c>
      <c r="S911" s="7">
        <f t="shared" si="43"/>
        <v>4.7619047619047619</v>
      </c>
      <c r="T911" s="7" t="str" cm="1">
        <f t="array" ref="T911">_xlfn.IFS(Q910&gt;=8,"Excellent",Q910&gt;=6,"Good",Q910&gt;=4,"Average",TRUE,"Poor")</f>
        <v>Good</v>
      </c>
      <c r="U911" s="9">
        <f t="shared" si="44"/>
        <v>5.1718636830938884E-4</v>
      </c>
      <c r="V911" s="7" t="str" cm="1">
        <f t="array" ref="V911">_xlfn.IFS(HOUR(L910)&lt;12,"Morning",HOUR(L910)&lt;17,"Afternoon",HOUR(L910)&lt;21,"Evening",TRUE,"Night")</f>
        <v>Afternoon</v>
      </c>
    </row>
    <row r="912" spans="1:22" x14ac:dyDescent="0.3">
      <c r="A912" t="s">
        <v>1002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  <c r="R912" s="5" t="str">
        <f t="shared" si="42"/>
        <v>Medium Sale</v>
      </c>
      <c r="S912" s="7">
        <f t="shared" si="43"/>
        <v>4.7619047619047619</v>
      </c>
      <c r="T912" s="7" t="str" cm="1">
        <f t="array" ref="T912">_xlfn.IFS(Q911&gt;=8,"Excellent",Q911&gt;=6,"Good",Q911&gt;=4,"Average",TRUE,"Poor")</f>
        <v>Average</v>
      </c>
      <c r="U912" s="9">
        <f t="shared" si="44"/>
        <v>1.5933683625121418E-3</v>
      </c>
      <c r="V912" s="7" t="str" cm="1">
        <f t="array" ref="V912">_xlfn.IFS(HOUR(L911)&lt;12,"Morning",HOUR(L911)&lt;17,"Afternoon",HOUR(L911)&lt;21,"Evening",TRUE,"Night")</f>
        <v>Morning</v>
      </c>
    </row>
    <row r="913" spans="1:22" x14ac:dyDescent="0.3">
      <c r="A913" t="s">
        <v>1003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  <c r="R913" s="5" t="str">
        <f t="shared" si="42"/>
        <v>Low Sale</v>
      </c>
      <c r="S913" s="7">
        <f t="shared" si="43"/>
        <v>4.761904761904761</v>
      </c>
      <c r="T913" s="7" t="str" cm="1">
        <f t="array" ref="T913">_xlfn.IFS(Q912&gt;=8,"Excellent",Q912&gt;=6,"Good",Q912&gt;=4,"Average",TRUE,"Poor")</f>
        <v>Good</v>
      </c>
      <c r="U913" s="9">
        <f t="shared" si="44"/>
        <v>2.8430945378838361E-4</v>
      </c>
      <c r="V913" s="7" t="str" cm="1">
        <f t="array" ref="V913">_xlfn.IFS(HOUR(L912)&lt;12,"Morning",HOUR(L912)&lt;17,"Afternoon",HOUR(L912)&lt;21,"Evening",TRUE,"Night")</f>
        <v>Evening</v>
      </c>
    </row>
    <row r="914" spans="1:22" x14ac:dyDescent="0.3">
      <c r="A914" t="s">
        <v>1004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  <c r="R914" s="5" t="str">
        <f t="shared" si="42"/>
        <v>Low Sale</v>
      </c>
      <c r="S914" s="7">
        <f t="shared" si="43"/>
        <v>4.7619047619047628</v>
      </c>
      <c r="T914" s="7" t="str" cm="1">
        <f t="array" ref="T914">_xlfn.IFS(Q913&gt;=8,"Excellent",Q913&gt;=6,"Good",Q913&gt;=4,"Average",TRUE,"Poor")</f>
        <v>Excellent</v>
      </c>
      <c r="U914" s="9">
        <f t="shared" si="44"/>
        <v>7.2993892012084493E-4</v>
      </c>
      <c r="V914" s="7" t="str" cm="1">
        <f t="array" ref="V914">_xlfn.IFS(HOUR(L913)&lt;12,"Morning",HOUR(L913)&lt;17,"Afternoon",HOUR(L913)&lt;21,"Evening",TRUE,"Night")</f>
        <v>Morning</v>
      </c>
    </row>
    <row r="915" spans="1:22" x14ac:dyDescent="0.3">
      <c r="A915" t="s">
        <v>1005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308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  <c r="R915" s="5" t="str">
        <f t="shared" si="42"/>
        <v>Medium Sale</v>
      </c>
      <c r="S915" s="7">
        <f t="shared" si="43"/>
        <v>4.7619047619047619</v>
      </c>
      <c r="T915" s="7" t="str" cm="1">
        <f t="array" ref="T915">_xlfn.IFS(Q914&gt;=8,"Excellent",Q914&gt;=6,"Good",Q914&gt;=4,"Average",TRUE,"Poor")</f>
        <v>Good</v>
      </c>
      <c r="U915" s="9">
        <f t="shared" si="44"/>
        <v>2.4219459198878699E-3</v>
      </c>
      <c r="V915" s="7" t="str" cm="1">
        <f t="array" ref="V915">_xlfn.IFS(HOUR(L914)&lt;12,"Morning",HOUR(L914)&lt;17,"Afternoon",HOUR(L914)&lt;21,"Evening",TRUE,"Night")</f>
        <v>Morning</v>
      </c>
    </row>
    <row r="916" spans="1:22" x14ac:dyDescent="0.3">
      <c r="A916" t="s">
        <v>1006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  <c r="R916" s="5" t="str">
        <f t="shared" si="42"/>
        <v>Low Sale</v>
      </c>
      <c r="S916" s="7">
        <f t="shared" si="43"/>
        <v>4.7619047619047628</v>
      </c>
      <c r="T916" s="7" t="str" cm="1">
        <f t="array" ref="T916">_xlfn.IFS(Q915&gt;=8,"Excellent",Q915&gt;=6,"Good",Q915&gt;=4,"Average",TRUE,"Poor")</f>
        <v>Good</v>
      </c>
      <c r="U916" s="9">
        <f t="shared" si="44"/>
        <v>1.3352953557457393E-3</v>
      </c>
      <c r="V916" s="7" t="str" cm="1">
        <f t="array" ref="V916">_xlfn.IFS(HOUR(L915)&lt;12,"Morning",HOUR(L915)&lt;17,"Afternoon",HOUR(L915)&lt;21,"Evening",TRUE,"Night")</f>
        <v>Morning</v>
      </c>
    </row>
    <row r="917" spans="1:22" x14ac:dyDescent="0.3">
      <c r="A917" t="s">
        <v>1007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  <c r="R917" s="5" t="str">
        <f t="shared" si="42"/>
        <v>Low Sale</v>
      </c>
      <c r="S917" s="7">
        <f t="shared" si="43"/>
        <v>4.7619047619047619</v>
      </c>
      <c r="T917" s="7" t="str" cm="1">
        <f t="array" ref="T917">_xlfn.IFS(Q916&gt;=8,"Excellent",Q916&gt;=6,"Good",Q916&gt;=4,"Average",TRUE,"Poor")</f>
        <v>Average</v>
      </c>
      <c r="U917" s="9">
        <f t="shared" si="44"/>
        <v>9.7143127263543759E-4</v>
      </c>
      <c r="V917" s="7" t="str" cm="1">
        <f t="array" ref="V917">_xlfn.IFS(HOUR(L916)&lt;12,"Morning",HOUR(L916)&lt;17,"Afternoon",HOUR(L916)&lt;21,"Evening",TRUE,"Night")</f>
        <v>Evening</v>
      </c>
    </row>
    <row r="918" spans="1:22" x14ac:dyDescent="0.3">
      <c r="A918" t="s">
        <v>1008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357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5" t="str">
        <f t="shared" si="42"/>
        <v>Low Sale</v>
      </c>
      <c r="S918" s="7">
        <f t="shared" si="43"/>
        <v>4.7619047619047628</v>
      </c>
      <c r="T918" s="7" t="str" cm="1">
        <f t="array" ref="T918">_xlfn.IFS(Q917&gt;=8,"Excellent",Q917&gt;=6,"Good",Q917&gt;=4,"Average",TRUE,"Poor")</f>
        <v>Average</v>
      </c>
      <c r="U918" s="9">
        <f t="shared" si="44"/>
        <v>6.9229108164320634E-4</v>
      </c>
      <c r="V918" s="7" t="str" cm="1">
        <f t="array" ref="V918">_xlfn.IFS(HOUR(L917)&lt;12,"Morning",HOUR(L917)&lt;17,"Afternoon",HOUR(L917)&lt;21,"Evening",TRUE,"Night")</f>
        <v>Afternoon</v>
      </c>
    </row>
    <row r="919" spans="1:22" x14ac:dyDescent="0.3">
      <c r="A919" t="s">
        <v>1009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  <c r="R919" s="5" t="str">
        <f t="shared" si="42"/>
        <v>Low Sale</v>
      </c>
      <c r="S919" s="7">
        <f t="shared" si="43"/>
        <v>4.7619047619047628</v>
      </c>
      <c r="T919" s="7" t="str" cm="1">
        <f t="array" ref="T919">_xlfn.IFS(Q918&gt;=8,"Excellent",Q918&gt;=6,"Good",Q918&gt;=4,"Average",TRUE,"Poor")</f>
        <v>Excellent</v>
      </c>
      <c r="U919" s="9">
        <f t="shared" si="44"/>
        <v>1.3931000680196954E-4</v>
      </c>
      <c r="V919" s="7" t="str" cm="1">
        <f t="array" ref="V919">_xlfn.IFS(HOUR(L918)&lt;12,"Morning",HOUR(L918)&lt;17,"Afternoon",HOUR(L918)&lt;21,"Evening",TRUE,"Night")</f>
        <v>Afternoon</v>
      </c>
    </row>
    <row r="920" spans="1:22" x14ac:dyDescent="0.3">
      <c r="A920" t="s">
        <v>1010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5" t="str">
        <f t="shared" si="42"/>
        <v>Low Sale</v>
      </c>
      <c r="S920" s="7">
        <f t="shared" si="43"/>
        <v>4.7619047619047628</v>
      </c>
      <c r="T920" s="7" t="str" cm="1">
        <f t="array" ref="T920">_xlfn.IFS(Q919&gt;=8,"Excellent",Q919&gt;=6,"Good",Q919&gt;=4,"Average",TRUE,"Poor")</f>
        <v>Good</v>
      </c>
      <c r="U920" s="9">
        <f t="shared" si="44"/>
        <v>1.2311298337402527E-3</v>
      </c>
      <c r="V920" s="7" t="str" cm="1">
        <f t="array" ref="V920">_xlfn.IFS(HOUR(L919)&lt;12,"Morning",HOUR(L919)&lt;17,"Afternoon",HOUR(L919)&lt;21,"Evening",TRUE,"Night")</f>
        <v>Afternoon</v>
      </c>
    </row>
    <row r="921" spans="1:22" x14ac:dyDescent="0.3">
      <c r="A921" t="s">
        <v>1011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  <c r="R921" s="5" t="str">
        <f t="shared" si="42"/>
        <v>Low Sale</v>
      </c>
      <c r="S921" s="7">
        <f t="shared" si="43"/>
        <v>4.7619047619047619</v>
      </c>
      <c r="T921" s="7" t="str" cm="1">
        <f t="array" ref="T921">_xlfn.IFS(Q920&gt;=8,"Excellent",Q920&gt;=6,"Good",Q920&gt;=4,"Average",TRUE,"Poor")</f>
        <v>Excellent</v>
      </c>
      <c r="U921" s="9">
        <f t="shared" si="44"/>
        <v>6.7268689632194909E-4</v>
      </c>
      <c r="V921" s="7" t="str" cm="1">
        <f t="array" ref="V921">_xlfn.IFS(HOUR(L920)&lt;12,"Morning",HOUR(L920)&lt;17,"Afternoon",HOUR(L920)&lt;21,"Evening",TRUE,"Night")</f>
        <v>Morning</v>
      </c>
    </row>
    <row r="922" spans="1:22" x14ac:dyDescent="0.3">
      <c r="A922" t="s">
        <v>1012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5" t="str">
        <f t="shared" si="42"/>
        <v>Low Sale</v>
      </c>
      <c r="S922" s="7">
        <f t="shared" si="43"/>
        <v>4.7619047619047628</v>
      </c>
      <c r="T922" s="7" t="str" cm="1">
        <f t="array" ref="T922">_xlfn.IFS(Q921&gt;=8,"Excellent",Q921&gt;=6,"Good",Q921&gt;=4,"Average",TRUE,"Poor")</f>
        <v>Good</v>
      </c>
      <c r="U922" s="9">
        <f t="shared" si="44"/>
        <v>2.5612234156030712E-4</v>
      </c>
      <c r="V922" s="7" t="str" cm="1">
        <f t="array" ref="V922">_xlfn.IFS(HOUR(L921)&lt;12,"Morning",HOUR(L921)&lt;17,"Afternoon",HOUR(L921)&lt;21,"Evening",TRUE,"Night")</f>
        <v>Afternoon</v>
      </c>
    </row>
    <row r="923" spans="1:22" x14ac:dyDescent="0.3">
      <c r="A923" t="s">
        <v>1013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  <c r="R923" s="5" t="str">
        <f t="shared" si="42"/>
        <v>Low Sale</v>
      </c>
      <c r="S923" s="7">
        <f t="shared" si="43"/>
        <v>4.7619047619047619</v>
      </c>
      <c r="T923" s="7" t="str" cm="1">
        <f t="array" ref="T923">_xlfn.IFS(Q922&gt;=8,"Excellent",Q922&gt;=6,"Good",Q922&gt;=4,"Average",TRUE,"Poor")</f>
        <v>Average</v>
      </c>
      <c r="U923" s="9">
        <f t="shared" si="44"/>
        <v>1.0472146158922383E-3</v>
      </c>
      <c r="V923" s="7" t="str" cm="1">
        <f t="array" ref="V923">_xlfn.IFS(HOUR(L922)&lt;12,"Morning",HOUR(L922)&lt;17,"Afternoon",HOUR(L922)&lt;21,"Evening",TRUE,"Night")</f>
        <v>Afternoon</v>
      </c>
    </row>
    <row r="924" spans="1:22" x14ac:dyDescent="0.3">
      <c r="A924" t="s">
        <v>1014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  <c r="R924" s="5" t="str">
        <f t="shared" si="42"/>
        <v>Low Sale</v>
      </c>
      <c r="S924" s="7">
        <f t="shared" si="43"/>
        <v>4.7619047619047619</v>
      </c>
      <c r="T924" s="7" t="str" cm="1">
        <f t="array" ref="T924">_xlfn.IFS(Q923&gt;=8,"Excellent",Q923&gt;=6,"Good",Q923&gt;=4,"Average",TRUE,"Poor")</f>
        <v>Good</v>
      </c>
      <c r="U924" s="9">
        <f t="shared" si="44"/>
        <v>3.1932389423779345E-4</v>
      </c>
      <c r="V924" s="7" t="str" cm="1">
        <f t="array" ref="V924">_xlfn.IFS(HOUR(L923)&lt;12,"Morning",HOUR(L923)&lt;17,"Afternoon",HOUR(L923)&lt;21,"Evening",TRUE,"Night")</f>
        <v>Morning</v>
      </c>
    </row>
    <row r="925" spans="1:22" x14ac:dyDescent="0.3">
      <c r="A925" t="s">
        <v>1015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  <c r="R925" s="5" t="str">
        <f t="shared" si="42"/>
        <v>Low Sale</v>
      </c>
      <c r="S925" s="7">
        <f t="shared" si="43"/>
        <v>4.7619047619047619</v>
      </c>
      <c r="T925" s="7" t="str" cm="1">
        <f t="array" ref="T925">_xlfn.IFS(Q924&gt;=8,"Excellent",Q924&gt;=6,"Good",Q924&gt;=4,"Average",TRUE,"Poor")</f>
        <v>Average</v>
      </c>
      <c r="U925" s="9">
        <f t="shared" si="44"/>
        <v>8.2773226911975377E-5</v>
      </c>
      <c r="V925" s="7" t="str" cm="1">
        <f t="array" ref="V925">_xlfn.IFS(HOUR(L924)&lt;12,"Morning",HOUR(L924)&lt;17,"Afternoon",HOUR(L924)&lt;21,"Evening",TRUE,"Night")</f>
        <v>Afternoon</v>
      </c>
    </row>
    <row r="926" spans="1:22" x14ac:dyDescent="0.3">
      <c r="A926" t="s">
        <v>1016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357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  <c r="R926" s="5" t="str">
        <f t="shared" si="42"/>
        <v>Medium Sale</v>
      </c>
      <c r="S926" s="7">
        <f t="shared" si="43"/>
        <v>4.7619047619047628</v>
      </c>
      <c r="T926" s="7" t="str" cm="1">
        <f t="array" ref="T926">_xlfn.IFS(Q925&gt;=8,"Excellent",Q925&gt;=6,"Good",Q925&gt;=4,"Average",TRUE,"Poor")</f>
        <v>Good</v>
      </c>
      <c r="U926" s="9">
        <f t="shared" si="44"/>
        <v>1.8920802277388618E-3</v>
      </c>
      <c r="V926" s="7" t="str" cm="1">
        <f t="array" ref="V926">_xlfn.IFS(HOUR(L925)&lt;12,"Morning",HOUR(L925)&lt;17,"Afternoon",HOUR(L925)&lt;21,"Evening",TRUE,"Night")</f>
        <v>Morning</v>
      </c>
    </row>
    <row r="927" spans="1:22" x14ac:dyDescent="0.3">
      <c r="A927" t="s">
        <v>1017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  <c r="R927" s="5" t="str">
        <f t="shared" si="42"/>
        <v>Low Sale</v>
      </c>
      <c r="S927" s="7">
        <f t="shared" si="43"/>
        <v>4.7619047619047628</v>
      </c>
      <c r="T927" s="7" t="str" cm="1">
        <f t="array" ref="T927">_xlfn.IFS(Q926&gt;=8,"Excellent",Q926&gt;=6,"Good",Q926&gt;=4,"Average",TRUE,"Poor")</f>
        <v>Good</v>
      </c>
      <c r="U927" s="9">
        <f t="shared" si="44"/>
        <v>6.8702428558674918E-4</v>
      </c>
      <c r="V927" s="7" t="str" cm="1">
        <f t="array" ref="V927">_xlfn.IFS(HOUR(L926)&lt;12,"Morning",HOUR(L926)&lt;17,"Afternoon",HOUR(L926)&lt;21,"Evening",TRUE,"Night")</f>
        <v>Afternoon</v>
      </c>
    </row>
    <row r="928" spans="1:22" x14ac:dyDescent="0.3">
      <c r="A928" t="s">
        <v>1018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  <c r="R928" s="5" t="str">
        <f t="shared" si="42"/>
        <v>Low Sale</v>
      </c>
      <c r="S928" s="7">
        <f t="shared" si="43"/>
        <v>4.7619047619047619</v>
      </c>
      <c r="T928" s="7" t="str" cm="1">
        <f t="array" ref="T928">_xlfn.IFS(Q927&gt;=8,"Excellent",Q927&gt;=6,"Good",Q927&gt;=4,"Average",TRUE,"Poor")</f>
        <v>Excellent</v>
      </c>
      <c r="U928" s="9">
        <f t="shared" si="44"/>
        <v>1.7920111026661751E-4</v>
      </c>
      <c r="V928" s="7" t="str" cm="1">
        <f t="array" ref="V928">_xlfn.IFS(HOUR(L927)&lt;12,"Morning",HOUR(L927)&lt;17,"Afternoon",HOUR(L927)&lt;21,"Evening",TRUE,"Night")</f>
        <v>Morning</v>
      </c>
    </row>
    <row r="929" spans="1:22" x14ac:dyDescent="0.3">
      <c r="A929" t="s">
        <v>1019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  <c r="R929" s="5" t="str">
        <f t="shared" si="42"/>
        <v>Low Sale</v>
      </c>
      <c r="S929" s="7">
        <f t="shared" si="43"/>
        <v>4.7619047619047619</v>
      </c>
      <c r="T929" s="7" t="str" cm="1">
        <f t="array" ref="T929">_xlfn.IFS(Q928&gt;=8,"Excellent",Q928&gt;=6,"Good",Q928&gt;=4,"Average",TRUE,"Poor")</f>
        <v>Average</v>
      </c>
      <c r="U929" s="9">
        <f t="shared" si="44"/>
        <v>2.8710540725045342E-4</v>
      </c>
      <c r="V929" s="7" t="str" cm="1">
        <f t="array" ref="V929">_xlfn.IFS(HOUR(L928)&lt;12,"Morning",HOUR(L928)&lt;17,"Afternoon",HOUR(L928)&lt;21,"Evening",TRUE,"Night")</f>
        <v>Evening</v>
      </c>
    </row>
    <row r="930" spans="1:22" x14ac:dyDescent="0.3">
      <c r="A930" t="s">
        <v>1020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  <c r="R930" s="5" t="str">
        <f t="shared" si="42"/>
        <v>Low Sale</v>
      </c>
      <c r="S930" s="7">
        <f t="shared" si="43"/>
        <v>4.7619047619047628</v>
      </c>
      <c r="T930" s="7" t="str" cm="1">
        <f t="array" ref="T930">_xlfn.IFS(Q929&gt;=8,"Excellent",Q929&gt;=6,"Good",Q929&gt;=4,"Average",TRUE,"Poor")</f>
        <v>Good</v>
      </c>
      <c r="U930" s="9">
        <f t="shared" si="44"/>
        <v>1.1592803319824107E-3</v>
      </c>
      <c r="V930" s="7" t="str" cm="1">
        <f t="array" ref="V930">_xlfn.IFS(HOUR(L929)&lt;12,"Morning",HOUR(L929)&lt;17,"Afternoon",HOUR(L929)&lt;21,"Evening",TRUE,"Night")</f>
        <v>Evening</v>
      </c>
    </row>
    <row r="931" spans="1:22" x14ac:dyDescent="0.3">
      <c r="A931" t="s">
        <v>1021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  <c r="R931" s="5" t="str">
        <f t="shared" si="42"/>
        <v>Medium Sale</v>
      </c>
      <c r="S931" s="7">
        <f t="shared" si="43"/>
        <v>4.7619047619047619</v>
      </c>
      <c r="T931" s="7" t="str" cm="1">
        <f t="array" ref="T931">_xlfn.IFS(Q930&gt;=8,"Excellent",Q930&gt;=6,"Good",Q930&gt;=4,"Average",TRUE,"Poor")</f>
        <v>Good</v>
      </c>
      <c r="U931" s="9">
        <f t="shared" si="44"/>
        <v>2.5821930665685952E-3</v>
      </c>
      <c r="V931" s="7" t="str" cm="1">
        <f t="array" ref="V931">_xlfn.IFS(HOUR(L930)&lt;12,"Morning",HOUR(L930)&lt;17,"Afternoon",HOUR(L930)&lt;21,"Evening",TRUE,"Night")</f>
        <v>Evening</v>
      </c>
    </row>
    <row r="932" spans="1:22" x14ac:dyDescent="0.3">
      <c r="A932" t="s">
        <v>1022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  <c r="R932" s="5" t="str">
        <f t="shared" si="42"/>
        <v>Low Sale</v>
      </c>
      <c r="S932" s="7">
        <f t="shared" si="43"/>
        <v>4.7619047619047619</v>
      </c>
      <c r="T932" s="7" t="str" cm="1">
        <f t="array" ref="T932">_xlfn.IFS(Q931&gt;=8,"Excellent",Q931&gt;=6,"Good",Q931&gt;=4,"Average",TRUE,"Poor")</f>
        <v>Good</v>
      </c>
      <c r="U932" s="9">
        <f t="shared" si="44"/>
        <v>1.6457112122090313E-4</v>
      </c>
      <c r="V932" s="7" t="str" cm="1">
        <f t="array" ref="V932">_xlfn.IFS(HOUR(L931)&lt;12,"Morning",HOUR(L931)&lt;17,"Afternoon",HOUR(L931)&lt;21,"Evening",TRUE,"Night")</f>
        <v>Evening</v>
      </c>
    </row>
    <row r="933" spans="1:22" x14ac:dyDescent="0.3">
      <c r="A933" t="s">
        <v>1023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  <c r="R933" s="5" t="str">
        <f t="shared" si="42"/>
        <v>Medium Sale</v>
      </c>
      <c r="S933" s="7">
        <f t="shared" si="43"/>
        <v>4.7619047619047619</v>
      </c>
      <c r="T933" s="7" t="str" cm="1">
        <f t="array" ref="T933">_xlfn.IFS(Q932&gt;=8,"Excellent",Q932&gt;=6,"Good",Q932&gt;=4,"Average",TRUE,"Poor")</f>
        <v>Good</v>
      </c>
      <c r="U933" s="9">
        <f t="shared" si="44"/>
        <v>1.9491046739303799E-3</v>
      </c>
      <c r="V933" s="7" t="str" cm="1">
        <f t="array" ref="V933">_xlfn.IFS(HOUR(L932)&lt;12,"Morning",HOUR(L932)&lt;17,"Afternoon",HOUR(L932)&lt;21,"Evening",TRUE,"Night")</f>
        <v>Afternoon</v>
      </c>
    </row>
    <row r="934" spans="1:22" x14ac:dyDescent="0.3">
      <c r="A934" t="s">
        <v>1024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  <c r="R934" s="5" t="str">
        <f t="shared" si="42"/>
        <v>Low Sale</v>
      </c>
      <c r="S934" s="7">
        <f t="shared" si="43"/>
        <v>4.7619047619047628</v>
      </c>
      <c r="T934" s="7" t="str" cm="1">
        <f t="array" ref="T934">_xlfn.IFS(Q933&gt;=8,"Excellent",Q933&gt;=6,"Good",Q933&gt;=4,"Average",TRUE,"Poor")</f>
        <v>Excellent</v>
      </c>
      <c r="U934" s="9">
        <f t="shared" si="44"/>
        <v>5.4195981642679862E-4</v>
      </c>
      <c r="V934" s="7" t="str" cm="1">
        <f t="array" ref="V934">_xlfn.IFS(HOUR(L933)&lt;12,"Morning",HOUR(L933)&lt;17,"Afternoon",HOUR(L933)&lt;21,"Evening",TRUE,"Night")</f>
        <v>Afternoon</v>
      </c>
    </row>
    <row r="935" spans="1:22" x14ac:dyDescent="0.3">
      <c r="A935" t="s">
        <v>1025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  <c r="R935" s="5" t="str">
        <f t="shared" si="42"/>
        <v>Medium Sale</v>
      </c>
      <c r="S935" s="7">
        <f t="shared" si="43"/>
        <v>4.7619047619047619</v>
      </c>
      <c r="T935" s="7" t="str" cm="1">
        <f t="array" ref="T935">_xlfn.IFS(Q934&gt;=8,"Excellent",Q934&gt;=6,"Good",Q934&gt;=4,"Average",TRUE,"Poor")</f>
        <v>Average</v>
      </c>
      <c r="U935" s="9">
        <f t="shared" si="44"/>
        <v>2.4201252990288477E-3</v>
      </c>
      <c r="V935" s="7" t="str" cm="1">
        <f t="array" ref="V935">_xlfn.IFS(HOUR(L934)&lt;12,"Morning",HOUR(L934)&lt;17,"Afternoon",HOUR(L934)&lt;21,"Evening",TRUE,"Night")</f>
        <v>Morning</v>
      </c>
    </row>
    <row r="936" spans="1:22" x14ac:dyDescent="0.3">
      <c r="A936" t="s">
        <v>1026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  <c r="R936" s="5" t="str">
        <f t="shared" si="42"/>
        <v>Low Sale</v>
      </c>
      <c r="S936" s="7">
        <f t="shared" si="43"/>
        <v>4.7619047619047628</v>
      </c>
      <c r="T936" s="7" t="str" cm="1">
        <f t="array" ref="T936">_xlfn.IFS(Q935&gt;=8,"Excellent",Q935&gt;=6,"Good",Q935&gt;=4,"Average",TRUE,"Poor")</f>
        <v>Good</v>
      </c>
      <c r="U936" s="9">
        <f t="shared" si="44"/>
        <v>1.4583173080768134E-3</v>
      </c>
      <c r="V936" s="7" t="str" cm="1">
        <f t="array" ref="V936">_xlfn.IFS(HOUR(L935)&lt;12,"Morning",HOUR(L935)&lt;17,"Afternoon",HOUR(L935)&lt;21,"Evening",TRUE,"Night")</f>
        <v>Afternoon</v>
      </c>
    </row>
    <row r="937" spans="1:22" x14ac:dyDescent="0.3">
      <c r="A937" t="s">
        <v>1027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5" t="str">
        <f t="shared" si="42"/>
        <v>Low Sale</v>
      </c>
      <c r="S937" s="7">
        <f t="shared" si="43"/>
        <v>4.7619047619047619</v>
      </c>
      <c r="T937" s="7" t="str" cm="1">
        <f t="array" ref="T937">_xlfn.IFS(Q936&gt;=8,"Excellent",Q936&gt;=6,"Good",Q936&gt;=4,"Average",TRUE,"Poor")</f>
        <v>Excellent</v>
      </c>
      <c r="U937" s="9">
        <f t="shared" si="44"/>
        <v>1.2318450776491543E-3</v>
      </c>
      <c r="V937" s="7" t="str" cm="1">
        <f t="array" ref="V937">_xlfn.IFS(HOUR(L936)&lt;12,"Morning",HOUR(L936)&lt;17,"Afternoon",HOUR(L936)&lt;21,"Evening",TRUE,"Night")</f>
        <v>Evening</v>
      </c>
    </row>
    <row r="938" spans="1:22" x14ac:dyDescent="0.3">
      <c r="A938" t="s">
        <v>1028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  <c r="R938" s="5" t="str">
        <f t="shared" si="42"/>
        <v>Low Sale</v>
      </c>
      <c r="S938" s="7">
        <f t="shared" si="43"/>
        <v>4.7619047619047628</v>
      </c>
      <c r="T938" s="7" t="str" cm="1">
        <f t="array" ref="T938">_xlfn.IFS(Q937&gt;=8,"Excellent",Q937&gt;=6,"Good",Q937&gt;=4,"Average",TRUE,"Poor")</f>
        <v>Average</v>
      </c>
      <c r="U938" s="9">
        <f t="shared" si="44"/>
        <v>8.3605510733242674E-4</v>
      </c>
      <c r="V938" s="7" t="str" cm="1">
        <f t="array" ref="V938">_xlfn.IFS(HOUR(L937)&lt;12,"Morning",HOUR(L937)&lt;17,"Afternoon",HOUR(L937)&lt;21,"Evening",TRUE,"Night")</f>
        <v>Evening</v>
      </c>
    </row>
    <row r="939" spans="1:22" x14ac:dyDescent="0.3">
      <c r="A939" t="s">
        <v>1029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  <c r="R939" s="5" t="str">
        <f t="shared" si="42"/>
        <v>Medium Sale</v>
      </c>
      <c r="S939" s="7">
        <f t="shared" si="43"/>
        <v>4.7619047619047619</v>
      </c>
      <c r="T939" s="7" t="str" cm="1">
        <f t="array" ref="T939">_xlfn.IFS(Q938&gt;=8,"Excellent",Q938&gt;=6,"Good",Q938&gt;=4,"Average",TRUE,"Poor")</f>
        <v>Good</v>
      </c>
      <c r="U939" s="9">
        <f t="shared" si="44"/>
        <v>1.7953597446033055E-3</v>
      </c>
      <c r="V939" s="7" t="str" cm="1">
        <f t="array" ref="V939">_xlfn.IFS(HOUR(L938)&lt;12,"Morning",HOUR(L938)&lt;17,"Afternoon",HOUR(L938)&lt;21,"Evening",TRUE,"Night")</f>
        <v>Evening</v>
      </c>
    </row>
    <row r="940" spans="1:22" x14ac:dyDescent="0.3">
      <c r="A940" t="s">
        <v>1030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  <c r="R940" s="5" t="str">
        <f t="shared" si="42"/>
        <v>Low Sale</v>
      </c>
      <c r="S940" s="7">
        <f t="shared" si="43"/>
        <v>4.7619047619047628</v>
      </c>
      <c r="T940" s="7" t="str" cm="1">
        <f t="array" ref="T940">_xlfn.IFS(Q939&gt;=8,"Excellent",Q939&gt;=6,"Good",Q939&gt;=4,"Average",TRUE,"Poor")</f>
        <v>Good</v>
      </c>
      <c r="U940" s="9">
        <f t="shared" si="44"/>
        <v>1.454546022011696E-3</v>
      </c>
      <c r="V940" s="7" t="str" cm="1">
        <f t="array" ref="V940">_xlfn.IFS(HOUR(L939)&lt;12,"Morning",HOUR(L939)&lt;17,"Afternoon",HOUR(L939)&lt;21,"Evening",TRUE,"Night")</f>
        <v>Morning</v>
      </c>
    </row>
    <row r="941" spans="1:22" x14ac:dyDescent="0.3">
      <c r="A941" t="s">
        <v>1031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257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  <c r="R941" s="5" t="str">
        <f t="shared" si="42"/>
        <v>Low Sale</v>
      </c>
      <c r="S941" s="7">
        <f t="shared" si="43"/>
        <v>4.7619047619047619</v>
      </c>
      <c r="T941" s="7" t="str" cm="1">
        <f t="array" ref="T941">_xlfn.IFS(Q940&gt;=8,"Excellent",Q940&gt;=6,"Good",Q940&gt;=4,"Average",TRUE,"Poor")</f>
        <v>Average</v>
      </c>
      <c r="U941" s="9">
        <f t="shared" si="44"/>
        <v>8.9818379414656078E-4</v>
      </c>
      <c r="V941" s="7" t="str" cm="1">
        <f t="array" ref="V941">_xlfn.IFS(HOUR(L940)&lt;12,"Morning",HOUR(L940)&lt;17,"Afternoon",HOUR(L940)&lt;21,"Evening",TRUE,"Night")</f>
        <v>Afternoon</v>
      </c>
    </row>
    <row r="942" spans="1:22" x14ac:dyDescent="0.3">
      <c r="A942" t="s">
        <v>1032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  <c r="R942" s="5" t="str">
        <f t="shared" si="42"/>
        <v>Low Sale</v>
      </c>
      <c r="S942" s="7">
        <f t="shared" si="43"/>
        <v>4.7619047619047619</v>
      </c>
      <c r="T942" s="7" t="str" cm="1">
        <f t="array" ref="T942">_xlfn.IFS(Q941&gt;=8,"Excellent",Q941&gt;=6,"Good",Q941&gt;=4,"Average",TRUE,"Poor")</f>
        <v>Average</v>
      </c>
      <c r="U942" s="9">
        <f t="shared" si="44"/>
        <v>1.1175360965719723E-3</v>
      </c>
      <c r="V942" s="7" t="str" cm="1">
        <f t="array" ref="V942">_xlfn.IFS(HOUR(L941)&lt;12,"Morning",HOUR(L941)&lt;17,"Afternoon",HOUR(L941)&lt;21,"Evening",TRUE,"Night")</f>
        <v>Evening</v>
      </c>
    </row>
    <row r="943" spans="1:22" x14ac:dyDescent="0.3">
      <c r="A943" t="s">
        <v>1033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  <c r="R943" s="5" t="str">
        <f t="shared" si="42"/>
        <v>Low Sale</v>
      </c>
      <c r="S943" s="7">
        <f t="shared" si="43"/>
        <v>4.7619047619047619</v>
      </c>
      <c r="T943" s="7" t="str" cm="1">
        <f t="array" ref="T943">_xlfn.IFS(Q942&gt;=8,"Excellent",Q942&gt;=6,"Good",Q942&gt;=4,"Average",TRUE,"Poor")</f>
        <v>Good</v>
      </c>
      <c r="U943" s="9">
        <f t="shared" si="44"/>
        <v>8.6505499672970959E-4</v>
      </c>
      <c r="V943" s="7" t="str" cm="1">
        <f t="array" ref="V943">_xlfn.IFS(HOUR(L942)&lt;12,"Morning",HOUR(L942)&lt;17,"Afternoon",HOUR(L942)&lt;21,"Evening",TRUE,"Night")</f>
        <v>Evening</v>
      </c>
    </row>
    <row r="944" spans="1:22" x14ac:dyDescent="0.3">
      <c r="A944" t="s">
        <v>1034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  <c r="R944" s="5" t="str">
        <f t="shared" si="42"/>
        <v>Medium Sale</v>
      </c>
      <c r="S944" s="7">
        <f t="shared" si="43"/>
        <v>4.7619047619047619</v>
      </c>
      <c r="T944" s="7" t="str" cm="1">
        <f t="array" ref="T944">_xlfn.IFS(Q943&gt;=8,"Excellent",Q943&gt;=6,"Good",Q943&gt;=4,"Average",TRUE,"Poor")</f>
        <v>Good</v>
      </c>
      <c r="U944" s="9">
        <f t="shared" si="44"/>
        <v>2.9207310130864271E-3</v>
      </c>
      <c r="V944" s="7" t="str" cm="1">
        <f t="array" ref="V944">_xlfn.IFS(HOUR(L943)&lt;12,"Morning",HOUR(L943)&lt;17,"Afternoon",HOUR(L943)&lt;21,"Evening",TRUE,"Night")</f>
        <v>Morning</v>
      </c>
    </row>
    <row r="945" spans="1:22" x14ac:dyDescent="0.3">
      <c r="A945" t="s">
        <v>1035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456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  <c r="R945" s="5" t="str">
        <f t="shared" si="42"/>
        <v>Low Sale</v>
      </c>
      <c r="S945" s="7">
        <f t="shared" si="43"/>
        <v>4.7619047619047628</v>
      </c>
      <c r="T945" s="7" t="str" cm="1">
        <f t="array" ref="T945">_xlfn.IFS(Q944&gt;=8,"Excellent",Q944&gt;=6,"Good",Q944&gt;=4,"Average",TRUE,"Poor")</f>
        <v>Average</v>
      </c>
      <c r="U945" s="9">
        <f t="shared" si="44"/>
        <v>1.4851064435738549E-3</v>
      </c>
      <c r="V945" s="7" t="str" cm="1">
        <f t="array" ref="V945">_xlfn.IFS(HOUR(L944)&lt;12,"Morning",HOUR(L944)&lt;17,"Afternoon",HOUR(L944)&lt;21,"Evening",TRUE,"Night")</f>
        <v>Evening</v>
      </c>
    </row>
    <row r="946" spans="1:22" x14ac:dyDescent="0.3">
      <c r="A946" t="s">
        <v>1036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  <c r="R946" s="5" t="str">
        <f t="shared" si="42"/>
        <v>Low Sale</v>
      </c>
      <c r="S946" s="7">
        <f t="shared" si="43"/>
        <v>4.7619047619047628</v>
      </c>
      <c r="T946" s="7" t="str" cm="1">
        <f t="array" ref="T946">_xlfn.IFS(Q945&gt;=8,"Excellent",Q945&gt;=6,"Good",Q945&gt;=4,"Average",TRUE,"Poor")</f>
        <v>Average</v>
      </c>
      <c r="U946" s="9">
        <f t="shared" si="44"/>
        <v>8.2561904847981715E-4</v>
      </c>
      <c r="V946" s="7" t="str" cm="1">
        <f t="array" ref="V946">_xlfn.IFS(HOUR(L945)&lt;12,"Morning",HOUR(L945)&lt;17,"Afternoon",HOUR(L945)&lt;21,"Evening",TRUE,"Night")</f>
        <v>Afternoon</v>
      </c>
    </row>
    <row r="947" spans="1:22" x14ac:dyDescent="0.3">
      <c r="A947" t="s">
        <v>1037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  <c r="R947" s="5" t="str">
        <f t="shared" si="42"/>
        <v>Low Sale</v>
      </c>
      <c r="S947" s="7">
        <f t="shared" si="43"/>
        <v>4.7619047619047628</v>
      </c>
      <c r="T947" s="7" t="str" cm="1">
        <f t="array" ref="T947">_xlfn.IFS(Q946&gt;=8,"Excellent",Q946&gt;=6,"Good",Q946&gt;=4,"Average",TRUE,"Poor")</f>
        <v>Average</v>
      </c>
      <c r="U947" s="9">
        <f t="shared" si="44"/>
        <v>2.2939822823680211E-4</v>
      </c>
      <c r="V947" s="7" t="str" cm="1">
        <f t="array" ref="V947">_xlfn.IFS(HOUR(L946)&lt;12,"Morning",HOUR(L946)&lt;17,"Afternoon",HOUR(L946)&lt;21,"Evening",TRUE,"Night")</f>
        <v>Evening</v>
      </c>
    </row>
    <row r="948" spans="1:22" x14ac:dyDescent="0.3">
      <c r="A948" t="s">
        <v>1038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  <c r="R948" s="5" t="str">
        <f t="shared" si="42"/>
        <v>Medium Sale</v>
      </c>
      <c r="S948" s="7">
        <f t="shared" si="43"/>
        <v>4.761904761904761</v>
      </c>
      <c r="T948" s="7" t="str" cm="1">
        <f t="array" ref="T948">_xlfn.IFS(Q947&gt;=8,"Excellent",Q947&gt;=6,"Good",Q947&gt;=4,"Average",TRUE,"Poor")</f>
        <v>Good</v>
      </c>
      <c r="U948" s="9">
        <f t="shared" si="44"/>
        <v>2.1364985780625975E-3</v>
      </c>
      <c r="V948" s="7" t="str" cm="1">
        <f t="array" ref="V948">_xlfn.IFS(HOUR(L947)&lt;12,"Morning",HOUR(L947)&lt;17,"Afternoon",HOUR(L947)&lt;21,"Evening",TRUE,"Night")</f>
        <v>Morning</v>
      </c>
    </row>
    <row r="949" spans="1:22" x14ac:dyDescent="0.3">
      <c r="A949" t="s">
        <v>1039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  <c r="R949" s="5" t="str">
        <f t="shared" si="42"/>
        <v>Low Sale</v>
      </c>
      <c r="S949" s="7">
        <f t="shared" si="43"/>
        <v>4.7619047619047628</v>
      </c>
      <c r="T949" s="7" t="str" cm="1">
        <f t="array" ref="T949">_xlfn.IFS(Q948&gt;=8,"Excellent",Q948&gt;=6,"Good",Q948&gt;=4,"Average",TRUE,"Poor")</f>
        <v>Average</v>
      </c>
      <c r="U949" s="9">
        <f t="shared" si="44"/>
        <v>5.4781181204508443E-4</v>
      </c>
      <c r="V949" s="7" t="str" cm="1">
        <f t="array" ref="V949">_xlfn.IFS(HOUR(L948)&lt;12,"Morning",HOUR(L948)&lt;17,"Afternoon",HOUR(L948)&lt;21,"Evening",TRUE,"Night")</f>
        <v>Afternoon</v>
      </c>
    </row>
    <row r="950" spans="1:22" x14ac:dyDescent="0.3">
      <c r="A950" t="s">
        <v>1040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  <c r="R950" s="5" t="str">
        <f t="shared" si="42"/>
        <v>Low Sale</v>
      </c>
      <c r="S950" s="7">
        <f t="shared" si="43"/>
        <v>4.7619047619047619</v>
      </c>
      <c r="T950" s="7" t="str" cm="1">
        <f t="array" ref="T950">_xlfn.IFS(Q949&gt;=8,"Excellent",Q949&gt;=6,"Good",Q949&gt;=4,"Average",TRUE,"Poor")</f>
        <v>Average</v>
      </c>
      <c r="U950" s="9">
        <f t="shared" si="44"/>
        <v>1.7484462463967146E-4</v>
      </c>
      <c r="V950" s="7" t="str" cm="1">
        <f t="array" ref="V950">_xlfn.IFS(HOUR(L949)&lt;12,"Morning",HOUR(L949)&lt;17,"Afternoon",HOUR(L949)&lt;21,"Evening",TRUE,"Night")</f>
        <v>Evening</v>
      </c>
    </row>
    <row r="951" spans="1:22" x14ac:dyDescent="0.3">
      <c r="A951" t="s">
        <v>1041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  <c r="R951" s="5" t="str">
        <f t="shared" si="42"/>
        <v>Low Sale</v>
      </c>
      <c r="S951" s="7">
        <f t="shared" si="43"/>
        <v>4.7619047619047628</v>
      </c>
      <c r="T951" s="7" t="str" cm="1">
        <f t="array" ref="T951">_xlfn.IFS(Q950&gt;=8,"Excellent",Q950&gt;=6,"Good",Q950&gt;=4,"Average",TRUE,"Poor")</f>
        <v>Good</v>
      </c>
      <c r="U951" s="9">
        <f t="shared" si="44"/>
        <v>5.821110085855927E-4</v>
      </c>
      <c r="V951" s="7" t="str" cm="1">
        <f t="array" ref="V951">_xlfn.IFS(HOUR(L950)&lt;12,"Morning",HOUR(L950)&lt;17,"Afternoon",HOUR(L950)&lt;21,"Evening",TRUE,"Night")</f>
        <v>Evening</v>
      </c>
    </row>
    <row r="952" spans="1:22" x14ac:dyDescent="0.3">
      <c r="A952" t="s">
        <v>1042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304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5" t="str">
        <f t="shared" si="42"/>
        <v>Low Sale</v>
      </c>
      <c r="S952" s="7">
        <f t="shared" si="43"/>
        <v>4.7619047619047619</v>
      </c>
      <c r="T952" s="7" t="str" cm="1">
        <f t="array" ref="T952">_xlfn.IFS(Q951&gt;=8,"Excellent",Q951&gt;=6,"Good",Q951&gt;=4,"Average",TRUE,"Poor")</f>
        <v>Excellent</v>
      </c>
      <c r="U952" s="9">
        <f t="shared" si="44"/>
        <v>6.8741441862796824E-4</v>
      </c>
      <c r="V952" s="7" t="str" cm="1">
        <f t="array" ref="V952">_xlfn.IFS(HOUR(L951)&lt;12,"Morning",HOUR(L951)&lt;17,"Afternoon",HOUR(L951)&lt;21,"Evening",TRUE,"Night")</f>
        <v>Afternoon</v>
      </c>
    </row>
    <row r="953" spans="1:22" x14ac:dyDescent="0.3">
      <c r="A953" t="s">
        <v>1043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  <c r="R953" s="5" t="str">
        <f t="shared" si="42"/>
        <v>Low Sale</v>
      </c>
      <c r="S953" s="7">
        <f t="shared" si="43"/>
        <v>4.7619047619047628</v>
      </c>
      <c r="T953" s="7" t="str" cm="1">
        <f t="array" ref="T953">_xlfn.IFS(Q952&gt;=8,"Excellent",Q952&gt;=6,"Good",Q952&gt;=4,"Average",TRUE,"Poor")</f>
        <v>Excellent</v>
      </c>
      <c r="U953" s="9">
        <f t="shared" si="44"/>
        <v>3.8925524187630834E-4</v>
      </c>
      <c r="V953" s="7" t="str" cm="1">
        <f t="array" ref="V953">_xlfn.IFS(HOUR(L952)&lt;12,"Morning",HOUR(L952)&lt;17,"Afternoon",HOUR(L952)&lt;21,"Evening",TRUE,"Night")</f>
        <v>Afternoon</v>
      </c>
    </row>
    <row r="954" spans="1:22" x14ac:dyDescent="0.3">
      <c r="A954" t="s">
        <v>1044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  <c r="R954" s="5" t="str">
        <f t="shared" si="42"/>
        <v>Low Sale</v>
      </c>
      <c r="S954" s="7">
        <f t="shared" si="43"/>
        <v>4.7619047619047628</v>
      </c>
      <c r="T954" s="7" t="str" cm="1">
        <f t="array" ref="T954">_xlfn.IFS(Q953&gt;=8,"Excellent",Q953&gt;=6,"Good",Q953&gt;=4,"Average",TRUE,"Poor")</f>
        <v>Average</v>
      </c>
      <c r="U954" s="9">
        <f t="shared" si="44"/>
        <v>2.1359784006743054E-4</v>
      </c>
      <c r="V954" s="7" t="str" cm="1">
        <f t="array" ref="V954">_xlfn.IFS(HOUR(L953)&lt;12,"Morning",HOUR(L953)&lt;17,"Afternoon",HOUR(L953)&lt;21,"Evening",TRUE,"Night")</f>
        <v>Evening</v>
      </c>
    </row>
    <row r="955" spans="1:22" x14ac:dyDescent="0.3">
      <c r="A955" t="s">
        <v>1045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  <c r="R955" s="5" t="str">
        <f t="shared" si="42"/>
        <v>Low Sale</v>
      </c>
      <c r="S955" s="7">
        <f t="shared" si="43"/>
        <v>4.7619047619047619</v>
      </c>
      <c r="T955" s="7" t="str" cm="1">
        <f t="array" ref="T955">_xlfn.IFS(Q954&gt;=8,"Excellent",Q954&gt;=6,"Good",Q954&gt;=4,"Average",TRUE,"Poor")</f>
        <v>Excellent</v>
      </c>
      <c r="U955" s="9">
        <f t="shared" si="44"/>
        <v>8.1732872135391245E-4</v>
      </c>
      <c r="V955" s="7" t="str" cm="1">
        <f t="array" ref="V955">_xlfn.IFS(HOUR(L954)&lt;12,"Morning",HOUR(L954)&lt;17,"Afternoon",HOUR(L954)&lt;21,"Evening",TRUE,"Night")</f>
        <v>Afternoon</v>
      </c>
    </row>
    <row r="956" spans="1:22" x14ac:dyDescent="0.3">
      <c r="A956" t="s">
        <v>1046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  <c r="R956" s="5" t="str">
        <f t="shared" si="42"/>
        <v>Low Sale</v>
      </c>
      <c r="S956" s="7">
        <f t="shared" si="43"/>
        <v>4.7619047619047628</v>
      </c>
      <c r="T956" s="7" t="str" cm="1">
        <f t="array" ref="T956">_xlfn.IFS(Q955&gt;=8,"Excellent",Q955&gt;=6,"Good",Q955&gt;=4,"Average",TRUE,"Poor")</f>
        <v>Good</v>
      </c>
      <c r="U956" s="9">
        <f t="shared" si="44"/>
        <v>2.7361330624162789E-4</v>
      </c>
      <c r="V956" s="7" t="str" cm="1">
        <f t="array" ref="V956">_xlfn.IFS(HOUR(L955)&lt;12,"Morning",HOUR(L955)&lt;17,"Afternoon",HOUR(L955)&lt;21,"Evening",TRUE,"Night")</f>
        <v>Afternoon</v>
      </c>
    </row>
    <row r="957" spans="1:22" x14ac:dyDescent="0.3">
      <c r="A957" t="s">
        <v>1047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  <c r="R957" s="5" t="str">
        <f t="shared" si="42"/>
        <v>Low Sale</v>
      </c>
      <c r="S957" s="7">
        <f t="shared" si="43"/>
        <v>4.7619047619047619</v>
      </c>
      <c r="T957" s="7" t="str" cm="1">
        <f t="array" ref="T957">_xlfn.IFS(Q956&gt;=8,"Excellent",Q956&gt;=6,"Good",Q956&gt;=4,"Average",TRUE,"Poor")</f>
        <v>Average</v>
      </c>
      <c r="U957" s="9">
        <f t="shared" si="44"/>
        <v>1.2856834373373832E-3</v>
      </c>
      <c r="V957" s="7" t="str" cm="1">
        <f t="array" ref="V957">_xlfn.IFS(HOUR(L956)&lt;12,"Morning",HOUR(L956)&lt;17,"Afternoon",HOUR(L956)&lt;21,"Evening",TRUE,"Night")</f>
        <v>Morning</v>
      </c>
    </row>
    <row r="958" spans="1:22" x14ac:dyDescent="0.3">
      <c r="A958" t="s">
        <v>1048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  <c r="R958" s="5" t="str">
        <f t="shared" si="42"/>
        <v>Low Sale</v>
      </c>
      <c r="S958" s="7">
        <f t="shared" si="43"/>
        <v>4.7619047619047619</v>
      </c>
      <c r="T958" s="7" t="str" cm="1">
        <f t="array" ref="T958">_xlfn.IFS(Q957&gt;=8,"Excellent",Q957&gt;=6,"Good",Q957&gt;=4,"Average",TRUE,"Poor")</f>
        <v>Good</v>
      </c>
      <c r="U958" s="9">
        <f t="shared" si="44"/>
        <v>9.68797874607209E-4</v>
      </c>
      <c r="V958" s="7" t="str" cm="1">
        <f t="array" ref="V958">_xlfn.IFS(HOUR(L957)&lt;12,"Morning",HOUR(L957)&lt;17,"Afternoon",HOUR(L957)&lt;21,"Evening",TRUE,"Night")</f>
        <v>Morning</v>
      </c>
    </row>
    <row r="959" spans="1:22" x14ac:dyDescent="0.3">
      <c r="A959" t="s">
        <v>1049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  <c r="R959" s="5" t="str">
        <f t="shared" si="42"/>
        <v>Low Sale</v>
      </c>
      <c r="S959" s="7">
        <f t="shared" si="43"/>
        <v>4.7619047619047628</v>
      </c>
      <c r="T959" s="7" t="str" cm="1">
        <f t="array" ref="T959">_xlfn.IFS(Q958&gt;=8,"Excellent",Q958&gt;=6,"Good",Q958&gt;=4,"Average",TRUE,"Poor")</f>
        <v>Average</v>
      </c>
      <c r="U959" s="9">
        <f t="shared" si="44"/>
        <v>1.4773362938362421E-3</v>
      </c>
      <c r="V959" s="7" t="str" cm="1">
        <f t="array" ref="V959">_xlfn.IFS(HOUR(L958)&lt;12,"Morning",HOUR(L958)&lt;17,"Afternoon",HOUR(L958)&lt;21,"Evening",TRUE,"Night")</f>
        <v>Evening</v>
      </c>
    </row>
    <row r="960" spans="1:22" x14ac:dyDescent="0.3">
      <c r="A960" t="s">
        <v>1050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  <c r="R960" s="5" t="str">
        <f t="shared" si="42"/>
        <v>Low Sale</v>
      </c>
      <c r="S960" s="7">
        <f t="shared" si="43"/>
        <v>4.7619047619047619</v>
      </c>
      <c r="T960" s="7" t="str" cm="1">
        <f t="array" ref="T960">_xlfn.IFS(Q959&gt;=8,"Excellent",Q959&gt;=6,"Good",Q959&gt;=4,"Average",TRUE,"Poor")</f>
        <v>Good</v>
      </c>
      <c r="U960" s="9">
        <f t="shared" si="44"/>
        <v>8.9769612784503688E-4</v>
      </c>
      <c r="V960" s="7" t="str" cm="1">
        <f t="array" ref="V960">_xlfn.IFS(HOUR(L959)&lt;12,"Morning",HOUR(L959)&lt;17,"Afternoon",HOUR(L959)&lt;21,"Evening",TRUE,"Night")</f>
        <v>Afternoon</v>
      </c>
    </row>
    <row r="961" spans="1:22" x14ac:dyDescent="0.3">
      <c r="A961" t="s">
        <v>1051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456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  <c r="R961" s="5" t="str">
        <f t="shared" si="42"/>
        <v>Low Sale</v>
      </c>
      <c r="S961" s="7">
        <f t="shared" si="43"/>
        <v>4.7619047619047619</v>
      </c>
      <c r="T961" s="7" t="str" cm="1">
        <f t="array" ref="T961">_xlfn.IFS(Q960&gt;=8,"Excellent",Q960&gt;=6,"Good",Q960&gt;=4,"Average",TRUE,"Poor")</f>
        <v>Good</v>
      </c>
      <c r="U961" s="9">
        <f t="shared" si="44"/>
        <v>5.136751709384175E-4</v>
      </c>
      <c r="V961" s="7" t="str" cm="1">
        <f t="array" ref="V961">_xlfn.IFS(HOUR(L960)&lt;12,"Morning",HOUR(L960)&lt;17,"Afternoon",HOUR(L960)&lt;21,"Evening",TRUE,"Night")</f>
        <v>Afternoon</v>
      </c>
    </row>
    <row r="962" spans="1:22" x14ac:dyDescent="0.3">
      <c r="A962" t="s">
        <v>1052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292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5" t="str">
        <f t="shared" si="42"/>
        <v>Medium Sale</v>
      </c>
      <c r="S962" s="7">
        <f t="shared" si="43"/>
        <v>4.7619047619047619</v>
      </c>
      <c r="T962" s="7" t="str" cm="1">
        <f t="array" ref="T962">_xlfn.IFS(Q961&gt;=8,"Excellent",Q961&gt;=6,"Good",Q961&gt;=4,"Average",TRUE,"Poor")</f>
        <v>Excellent</v>
      </c>
      <c r="U962" s="9">
        <f t="shared" si="44"/>
        <v>2.8867894385003695E-3</v>
      </c>
      <c r="V962" s="7" t="str" cm="1">
        <f t="array" ref="V962">_xlfn.IFS(HOUR(L961)&lt;12,"Morning",HOUR(L961)&lt;17,"Afternoon",HOUR(L961)&lt;21,"Evening",TRUE,"Night")</f>
        <v>Afternoon</v>
      </c>
    </row>
    <row r="963" spans="1:22" x14ac:dyDescent="0.3">
      <c r="A963" t="s">
        <v>1053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  <c r="R963" s="5" t="str">
        <f t="shared" si="42"/>
        <v>Low Sale</v>
      </c>
      <c r="S963" s="7">
        <f t="shared" si="43"/>
        <v>4.7619047619047628</v>
      </c>
      <c r="T963" s="7" t="str" cm="1">
        <f t="array" ref="T963">_xlfn.IFS(Q962&gt;=8,"Excellent",Q962&gt;=6,"Good",Q962&gt;=4,"Average",TRUE,"Poor")</f>
        <v>Excellent</v>
      </c>
      <c r="U963" s="9">
        <f t="shared" si="44"/>
        <v>2.9903697609440276E-4</v>
      </c>
      <c r="V963" s="7" t="str" cm="1">
        <f t="array" ref="V963">_xlfn.IFS(HOUR(L962)&lt;12,"Morning",HOUR(L962)&lt;17,"Afternoon",HOUR(L962)&lt;21,"Evening",TRUE,"Night")</f>
        <v>Afternoon</v>
      </c>
    </row>
    <row r="964" spans="1:22" x14ac:dyDescent="0.3">
      <c r="A964" t="s">
        <v>1054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  <c r="R964" s="5" t="str">
        <f t="shared" ref="R964:R1001" si="45">IF(J963&gt;=1000,"High Sale",IF(J963&gt;=500,"Medium Sale","Low Sale"))</f>
        <v>Low Sale</v>
      </c>
      <c r="S964" s="7">
        <f t="shared" ref="S964:S1001" si="46">(P963/J963)*100</f>
        <v>4.7619047619047619</v>
      </c>
      <c r="T964" s="7" t="str" cm="1">
        <f t="array" ref="T964">_xlfn.IFS(Q963&gt;=8,"Excellent",Q963&gt;=6,"Good",Q963&gt;=4,"Average",TRUE,"Poor")</f>
        <v>Excellent</v>
      </c>
      <c r="U964" s="9">
        <f t="shared" ref="U964:U1001" si="47">J963/SUM($J$2:$J$1001)</f>
        <v>1.3583132051776635E-4</v>
      </c>
      <c r="V964" s="7" t="str" cm="1">
        <f t="array" ref="V964">_xlfn.IFS(HOUR(L963)&lt;12,"Morning",HOUR(L963)&lt;17,"Afternoon",HOUR(L963)&lt;21,"Evening",TRUE,"Night")</f>
        <v>Evening</v>
      </c>
    </row>
    <row r="965" spans="1:22" x14ac:dyDescent="0.3">
      <c r="A965" t="s">
        <v>1055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  <c r="R965" s="5" t="str">
        <f t="shared" si="45"/>
        <v>Low Sale</v>
      </c>
      <c r="S965" s="7">
        <f t="shared" si="46"/>
        <v>4.7619047619047628</v>
      </c>
      <c r="T965" s="7" t="str" cm="1">
        <f t="array" ref="T965">_xlfn.IFS(Q964&gt;=8,"Excellent",Q964&gt;=6,"Good",Q964&gt;=4,"Average",TRUE,"Poor")</f>
        <v>Good</v>
      </c>
      <c r="U965" s="9">
        <f t="shared" si="47"/>
        <v>5.039218449079411E-5</v>
      </c>
      <c r="V965" s="7" t="str" cm="1">
        <f t="array" ref="V965">_xlfn.IFS(HOUR(L964)&lt;12,"Morning",HOUR(L964)&lt;17,"Afternoon",HOUR(L964)&lt;21,"Evening",TRUE,"Night")</f>
        <v>Afternoon</v>
      </c>
    </row>
    <row r="966" spans="1:22" x14ac:dyDescent="0.3">
      <c r="A966" t="s">
        <v>1056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  <c r="R966" s="5" t="str">
        <f t="shared" si="45"/>
        <v>Low Sale</v>
      </c>
      <c r="S966" s="7">
        <f t="shared" si="46"/>
        <v>4.7619047619047619</v>
      </c>
      <c r="T966" s="7" t="str" cm="1">
        <f t="array" ref="T966">_xlfn.IFS(Q965&gt;=8,"Excellent",Q965&gt;=6,"Good",Q965&gt;=4,"Average",TRUE,"Poor")</f>
        <v>Good</v>
      </c>
      <c r="U966" s="9">
        <f t="shared" si="47"/>
        <v>9.4431702627071354E-4</v>
      </c>
      <c r="V966" s="7" t="str" cm="1">
        <f t="array" ref="V966">_xlfn.IFS(HOUR(L965)&lt;12,"Morning",HOUR(L965)&lt;17,"Afternoon",HOUR(L965)&lt;21,"Evening",TRUE,"Night")</f>
        <v>Evening</v>
      </c>
    </row>
    <row r="967" spans="1:22" x14ac:dyDescent="0.3">
      <c r="A967" t="s">
        <v>1057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  <c r="R967" s="5" t="str">
        <f t="shared" si="45"/>
        <v>Low Sale</v>
      </c>
      <c r="S967" s="7">
        <f t="shared" si="46"/>
        <v>4.7619047619047628</v>
      </c>
      <c r="T967" s="7" t="str" cm="1">
        <f t="array" ref="T967">_xlfn.IFS(Q966&gt;=8,"Excellent",Q966&gt;=6,"Good",Q966&gt;=4,"Average",TRUE,"Poor")</f>
        <v>Good</v>
      </c>
      <c r="U967" s="9">
        <f t="shared" si="47"/>
        <v>2.1671890439718295E-4</v>
      </c>
      <c r="V967" s="7" t="str" cm="1">
        <f t="array" ref="V967">_xlfn.IFS(HOUR(L966)&lt;12,"Morning",HOUR(L966)&lt;17,"Afternoon",HOUR(L966)&lt;21,"Evening",TRUE,"Night")</f>
        <v>Afternoon</v>
      </c>
    </row>
    <row r="968" spans="1:22" x14ac:dyDescent="0.3">
      <c r="A968" t="s">
        <v>1058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  <c r="R968" s="5" t="str">
        <f t="shared" si="45"/>
        <v>Low Sale</v>
      </c>
      <c r="S968" s="7">
        <f t="shared" si="46"/>
        <v>4.7619047619047619</v>
      </c>
      <c r="T968" s="7" t="str" cm="1">
        <f t="array" ref="T968">_xlfn.IFS(Q967&gt;=8,"Excellent",Q967&gt;=6,"Good",Q967&gt;=4,"Average",TRUE,"Poor")</f>
        <v>Average</v>
      </c>
      <c r="U968" s="9">
        <f t="shared" si="47"/>
        <v>2.4883985812421822E-4</v>
      </c>
      <c r="V968" s="7" t="str" cm="1">
        <f t="array" ref="V968">_xlfn.IFS(HOUR(L967)&lt;12,"Morning",HOUR(L967)&lt;17,"Afternoon",HOUR(L967)&lt;21,"Evening",TRUE,"Night")</f>
        <v>Evening</v>
      </c>
    </row>
    <row r="969" spans="1:22" x14ac:dyDescent="0.3">
      <c r="A969" t="s">
        <v>1059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  <c r="R969" s="5" t="str">
        <f t="shared" si="45"/>
        <v>Low Sale</v>
      </c>
      <c r="S969" s="7">
        <f t="shared" si="46"/>
        <v>4.7619047619047619</v>
      </c>
      <c r="T969" s="7" t="str" cm="1">
        <f t="array" ref="T969">_xlfn.IFS(Q968&gt;=8,"Excellent",Q968&gt;=6,"Good",Q968&gt;=4,"Average",TRUE,"Poor")</f>
        <v>Good</v>
      </c>
      <c r="U969" s="9">
        <f t="shared" si="47"/>
        <v>9.7435727044458049E-4</v>
      </c>
      <c r="V969" s="7" t="str" cm="1">
        <f t="array" ref="V969">_xlfn.IFS(HOUR(L968)&lt;12,"Morning",HOUR(L968)&lt;17,"Afternoon",HOUR(L968)&lt;21,"Evening",TRUE,"Night")</f>
        <v>Afternoon</v>
      </c>
    </row>
    <row r="970" spans="1:22" x14ac:dyDescent="0.3">
      <c r="A970" t="s">
        <v>1060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  <c r="R970" s="5" t="str">
        <f t="shared" si="45"/>
        <v>Low Sale</v>
      </c>
      <c r="S970" s="7">
        <f t="shared" si="46"/>
        <v>4.7619047619047628</v>
      </c>
      <c r="T970" s="7" t="str" cm="1">
        <f t="array" ref="T970">_xlfn.IFS(Q969&gt;=8,"Excellent",Q969&gt;=6,"Good",Q969&gt;=4,"Average",TRUE,"Poor")</f>
        <v>Excellent</v>
      </c>
      <c r="U970" s="9">
        <f t="shared" si="47"/>
        <v>7.9011694172888346E-4</v>
      </c>
      <c r="V970" s="7" t="str" cm="1">
        <f t="array" ref="V970">_xlfn.IFS(HOUR(L969)&lt;12,"Morning",HOUR(L969)&lt;17,"Afternoon",HOUR(L969)&lt;21,"Evening",TRUE,"Night")</f>
        <v>Afternoon</v>
      </c>
    </row>
    <row r="971" spans="1:22" x14ac:dyDescent="0.3">
      <c r="A971" t="s">
        <v>1061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  <c r="R971" s="5" t="str">
        <f t="shared" si="45"/>
        <v>Low Sale</v>
      </c>
      <c r="S971" s="7">
        <f t="shared" si="46"/>
        <v>4.7619047619047619</v>
      </c>
      <c r="T971" s="7" t="str" cm="1">
        <f t="array" ref="T971">_xlfn.IFS(Q970&gt;=8,"Excellent",Q970&gt;=6,"Good",Q970&gt;=4,"Average",TRUE,"Poor")</f>
        <v>Excellent</v>
      </c>
      <c r="U971" s="9">
        <f t="shared" si="47"/>
        <v>1.5410255128152524E-4</v>
      </c>
      <c r="V971" s="7" t="str" cm="1">
        <f t="array" ref="V971">_xlfn.IFS(HOUR(L970)&lt;12,"Morning",HOUR(L970)&lt;17,"Afternoon",HOUR(L970)&lt;21,"Evening",TRUE,"Night")</f>
        <v>Evening</v>
      </c>
    </row>
    <row r="972" spans="1:22" x14ac:dyDescent="0.3">
      <c r="A972" t="s">
        <v>1062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  <c r="R972" s="5" t="str">
        <f t="shared" si="45"/>
        <v>Low Sale</v>
      </c>
      <c r="S972" s="7">
        <f t="shared" si="46"/>
        <v>4.7619047619047628</v>
      </c>
      <c r="T972" s="7" t="str" cm="1">
        <f t="array" ref="T972">_xlfn.IFS(Q971&gt;=8,"Excellent",Q971&gt;=6,"Good",Q971&gt;=4,"Average",TRUE,"Poor")</f>
        <v>Excellent</v>
      </c>
      <c r="U972" s="9">
        <f t="shared" si="47"/>
        <v>5.6065369131854488E-4</v>
      </c>
      <c r="V972" s="7" t="str" cm="1">
        <f t="array" ref="V972">_xlfn.IFS(HOUR(L971)&lt;12,"Morning",HOUR(L971)&lt;17,"Afternoon",HOUR(L971)&lt;21,"Evening",TRUE,"Night")</f>
        <v>Evening</v>
      </c>
    </row>
    <row r="973" spans="1:22" x14ac:dyDescent="0.3">
      <c r="A973" t="s">
        <v>1063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  <c r="R973" s="5" t="str">
        <f t="shared" si="45"/>
        <v>Medium Sale</v>
      </c>
      <c r="S973" s="7">
        <f t="shared" si="46"/>
        <v>4.7619047619047619</v>
      </c>
      <c r="T973" s="7" t="str" cm="1">
        <f t="array" ref="T973">_xlfn.IFS(Q972&gt;=8,"Excellent",Q972&gt;=6,"Good",Q972&gt;=4,"Average",TRUE,"Poor")</f>
        <v>Excellent</v>
      </c>
      <c r="U973" s="9">
        <f t="shared" si="47"/>
        <v>2.7514132731973587E-3</v>
      </c>
      <c r="V973" s="7" t="str" cm="1">
        <f t="array" ref="V973">_xlfn.IFS(HOUR(L972)&lt;12,"Morning",HOUR(L972)&lt;17,"Afternoon",HOUR(L972)&lt;21,"Evening",TRUE,"Night")</f>
        <v>Morning</v>
      </c>
    </row>
    <row r="974" spans="1:22" x14ac:dyDescent="0.3">
      <c r="A974" t="s">
        <v>1064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  <c r="R974" s="5" t="str">
        <f t="shared" si="45"/>
        <v>Low Sale</v>
      </c>
      <c r="S974" s="7">
        <f t="shared" si="46"/>
        <v>4.7619047619047619</v>
      </c>
      <c r="T974" s="7" t="str" cm="1">
        <f t="array" ref="T974">_xlfn.IFS(Q973&gt;=8,"Excellent",Q973&gt;=6,"Good",Q973&gt;=4,"Average",TRUE,"Poor")</f>
        <v>Good</v>
      </c>
      <c r="U974" s="9">
        <f t="shared" si="47"/>
        <v>8.3998894883138559E-4</v>
      </c>
      <c r="V974" s="7" t="str" cm="1">
        <f t="array" ref="V974">_xlfn.IFS(HOUR(L973)&lt;12,"Morning",HOUR(L973)&lt;17,"Afternoon",HOUR(L973)&lt;21,"Evening",TRUE,"Night")</f>
        <v>Afternoon</v>
      </c>
    </row>
    <row r="975" spans="1:22" x14ac:dyDescent="0.3">
      <c r="A975" t="s">
        <v>1065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  <c r="R975" s="5" t="str">
        <f t="shared" si="45"/>
        <v>Medium Sale</v>
      </c>
      <c r="S975" s="7">
        <f t="shared" si="46"/>
        <v>4.7619047619047628</v>
      </c>
      <c r="T975" s="7" t="str" cm="1">
        <f t="array" ref="T975">_xlfn.IFS(Q974&gt;=8,"Excellent",Q974&gt;=6,"Good",Q974&gt;=4,"Average",TRUE,"Poor")</f>
        <v>Average</v>
      </c>
      <c r="U975" s="9">
        <f t="shared" si="47"/>
        <v>1.9817458050457072E-3</v>
      </c>
      <c r="V975" s="7" t="str" cm="1">
        <f t="array" ref="V975">_xlfn.IFS(HOUR(L974)&lt;12,"Morning",HOUR(L974)&lt;17,"Afternoon",HOUR(L974)&lt;21,"Evening",TRUE,"Night")</f>
        <v>Afternoon</v>
      </c>
    </row>
    <row r="976" spans="1:22" x14ac:dyDescent="0.3">
      <c r="A976" t="s">
        <v>1066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5" t="str">
        <f t="shared" si="45"/>
        <v>Low Sale</v>
      </c>
      <c r="S976" s="7">
        <f t="shared" si="46"/>
        <v>4.7619047619047619</v>
      </c>
      <c r="T976" s="7" t="str" cm="1">
        <f t="array" ref="T976">_xlfn.IFS(Q975&gt;=8,"Excellent",Q975&gt;=6,"Good",Q975&gt;=4,"Average",TRUE,"Poor")</f>
        <v>Average</v>
      </c>
      <c r="U976" s="9">
        <f t="shared" si="47"/>
        <v>7.8104634852054064E-4</v>
      </c>
      <c r="V976" s="7" t="str" cm="1">
        <f t="array" ref="V976">_xlfn.IFS(HOUR(L975)&lt;12,"Morning",HOUR(L975)&lt;17,"Afternoon",HOUR(L975)&lt;21,"Evening",TRUE,"Night")</f>
        <v>Afternoon</v>
      </c>
    </row>
    <row r="977" spans="1:22" x14ac:dyDescent="0.3">
      <c r="A977" t="s">
        <v>1067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  <c r="R977" s="5" t="str">
        <f t="shared" si="45"/>
        <v>Low Sale</v>
      </c>
      <c r="S977" s="7">
        <f t="shared" si="46"/>
        <v>4.7619047619047619</v>
      </c>
      <c r="T977" s="7" t="str" cm="1">
        <f t="array" ref="T977">_xlfn.IFS(Q976&gt;=8,"Excellent",Q976&gt;=6,"Good",Q976&gt;=4,"Average",TRUE,"Poor")</f>
        <v>Excellent</v>
      </c>
      <c r="U977" s="9">
        <f t="shared" si="47"/>
        <v>5.6003598066994799E-4</v>
      </c>
      <c r="V977" s="7" t="str" cm="1">
        <f t="array" ref="V977">_xlfn.IFS(HOUR(L976)&lt;12,"Morning",HOUR(L976)&lt;17,"Afternoon",HOUR(L976)&lt;21,"Evening",TRUE,"Night")</f>
        <v>Evening</v>
      </c>
    </row>
    <row r="978" spans="1:22" x14ac:dyDescent="0.3">
      <c r="A978" t="s">
        <v>1068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  <c r="R978" s="5" t="str">
        <f t="shared" si="45"/>
        <v>Low Sale</v>
      </c>
      <c r="S978" s="7">
        <f t="shared" si="46"/>
        <v>4.7619047619047628</v>
      </c>
      <c r="T978" s="7" t="str" cm="1">
        <f t="array" ref="T978">_xlfn.IFS(Q977&gt;=8,"Excellent",Q977&gt;=6,"Good",Q977&gt;=4,"Average",TRUE,"Poor")</f>
        <v>Good</v>
      </c>
      <c r="U978" s="9">
        <f t="shared" si="47"/>
        <v>3.2459069029425061E-4</v>
      </c>
      <c r="V978" s="7" t="str" cm="1">
        <f t="array" ref="V978">_xlfn.IFS(HOUR(L977)&lt;12,"Morning",HOUR(L977)&lt;17,"Afternoon",HOUR(L977)&lt;21,"Evening",TRUE,"Night")</f>
        <v>Morning</v>
      </c>
    </row>
    <row r="979" spans="1:22" x14ac:dyDescent="0.3">
      <c r="A979" t="s">
        <v>1069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317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  <c r="R979" s="5" t="str">
        <f t="shared" si="45"/>
        <v>Low Sale</v>
      </c>
      <c r="S979" s="7">
        <f t="shared" si="46"/>
        <v>4.7619047619047619</v>
      </c>
      <c r="T979" s="7" t="str" cm="1">
        <f t="array" ref="T979">_xlfn.IFS(Q978&gt;=8,"Excellent",Q978&gt;=6,"Good",Q978&gt;=4,"Average",TRUE,"Poor")</f>
        <v>Excellent</v>
      </c>
      <c r="U979" s="9">
        <f t="shared" si="47"/>
        <v>9.7091109524714554E-4</v>
      </c>
      <c r="V979" s="7" t="str" cm="1">
        <f t="array" ref="V979">_xlfn.IFS(HOUR(L978)&lt;12,"Morning",HOUR(L978)&lt;17,"Afternoon",HOUR(L978)&lt;21,"Evening",TRUE,"Night")</f>
        <v>Morning</v>
      </c>
    </row>
    <row r="980" spans="1:22" x14ac:dyDescent="0.3">
      <c r="A980" t="s">
        <v>1070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  <c r="R980" s="5" t="str">
        <f t="shared" si="45"/>
        <v>Low Sale</v>
      </c>
      <c r="S980" s="7">
        <f t="shared" si="46"/>
        <v>4.7619047619047619</v>
      </c>
      <c r="T980" s="7" t="str" cm="1">
        <f t="array" ref="T980">_xlfn.IFS(Q979&gt;=8,"Excellent",Q979&gt;=6,"Good",Q979&gt;=4,"Average",TRUE,"Poor")</f>
        <v>Average</v>
      </c>
      <c r="U980" s="9">
        <f t="shared" si="47"/>
        <v>5.1887694482133818E-4</v>
      </c>
      <c r="V980" s="7" t="str" cm="1">
        <f t="array" ref="V980">_xlfn.IFS(HOUR(L979)&lt;12,"Morning",HOUR(L979)&lt;17,"Afternoon",HOUR(L979)&lt;21,"Evening",TRUE,"Night")</f>
        <v>Afternoon</v>
      </c>
    </row>
    <row r="981" spans="1:22" x14ac:dyDescent="0.3">
      <c r="A981" t="s">
        <v>1071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  <c r="R981" s="5" t="str">
        <f t="shared" si="45"/>
        <v>Low Sale</v>
      </c>
      <c r="S981" s="7">
        <f t="shared" si="46"/>
        <v>4.7619047619047619</v>
      </c>
      <c r="T981" s="7" t="str" cm="1">
        <f t="array" ref="T981">_xlfn.IFS(Q980&gt;=8,"Excellent",Q980&gt;=6,"Good",Q980&gt;=4,"Average",TRUE,"Poor")</f>
        <v>Average</v>
      </c>
      <c r="U981" s="9">
        <f t="shared" si="47"/>
        <v>8.2740715825207117E-5</v>
      </c>
      <c r="V981" s="7" t="str" cm="1">
        <f t="array" ref="V981">_xlfn.IFS(HOUR(L980)&lt;12,"Morning",HOUR(L980)&lt;17,"Afternoon",HOUR(L980)&lt;21,"Evening",TRUE,"Night")</f>
        <v>Evening</v>
      </c>
    </row>
    <row r="982" spans="1:22" x14ac:dyDescent="0.3">
      <c r="A982" t="s">
        <v>1072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5" t="str">
        <f t="shared" si="45"/>
        <v>Low Sale</v>
      </c>
      <c r="S982" s="7">
        <f t="shared" si="46"/>
        <v>4.7619047619047619</v>
      </c>
      <c r="T982" s="7" t="str" cm="1">
        <f t="array" ref="T982">_xlfn.IFS(Q981&gt;=8,"Excellent",Q981&gt;=6,"Good",Q981&gt;=4,"Average",TRUE,"Poor")</f>
        <v>Good</v>
      </c>
      <c r="U982" s="9">
        <f t="shared" si="47"/>
        <v>2.2032763502845919E-4</v>
      </c>
      <c r="V982" s="7" t="str" cm="1">
        <f t="array" ref="V982">_xlfn.IFS(HOUR(L981)&lt;12,"Morning",HOUR(L981)&lt;17,"Afternoon",HOUR(L981)&lt;21,"Evening",TRUE,"Night")</f>
        <v>Evening</v>
      </c>
    </row>
    <row r="983" spans="1:22" x14ac:dyDescent="0.3">
      <c r="A983" t="s">
        <v>1073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  <c r="R983" s="5" t="str">
        <f t="shared" si="45"/>
        <v>Low Sale</v>
      </c>
      <c r="S983" s="7">
        <f t="shared" si="46"/>
        <v>4.7619047619047619</v>
      </c>
      <c r="T983" s="7" t="str" cm="1">
        <f t="array" ref="T983">_xlfn.IFS(Q982&gt;=8,"Excellent",Q982&gt;=6,"Good",Q982&gt;=4,"Average",TRUE,"Poor")</f>
        <v>Excellent</v>
      </c>
      <c r="U983" s="9">
        <f t="shared" si="47"/>
        <v>7.7493426420810875E-4</v>
      </c>
      <c r="V983" s="7" t="str" cm="1">
        <f t="array" ref="V983">_xlfn.IFS(HOUR(L982)&lt;12,"Morning",HOUR(L982)&lt;17,"Afternoon",HOUR(L982)&lt;21,"Evening",TRUE,"Night")</f>
        <v>Afternoon</v>
      </c>
    </row>
    <row r="984" spans="1:22" x14ac:dyDescent="0.3">
      <c r="A984" t="s">
        <v>1074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357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  <c r="R984" s="5" t="str">
        <f t="shared" si="45"/>
        <v>Low Sale</v>
      </c>
      <c r="S984" s="7">
        <f t="shared" si="46"/>
        <v>4.7619047619047628</v>
      </c>
      <c r="T984" s="7" t="str" cm="1">
        <f t="array" ref="T984">_xlfn.IFS(Q983&gt;=8,"Excellent",Q983&gt;=6,"Good",Q983&gt;=4,"Average",TRUE,"Poor")</f>
        <v>Excellent</v>
      </c>
      <c r="U984" s="9">
        <f t="shared" si="47"/>
        <v>7.5620787822959425E-4</v>
      </c>
      <c r="V984" s="7" t="str" cm="1">
        <f t="array" ref="V984">_xlfn.IFS(HOUR(L983)&lt;12,"Morning",HOUR(L983)&lt;17,"Afternoon",HOUR(L983)&lt;21,"Evening",TRUE,"Night")</f>
        <v>Evening</v>
      </c>
    </row>
    <row r="985" spans="1:22" x14ac:dyDescent="0.3">
      <c r="A985" t="s">
        <v>1075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  <c r="R985" s="5" t="str">
        <f t="shared" si="45"/>
        <v>Medium Sale</v>
      </c>
      <c r="S985" s="7">
        <f t="shared" si="46"/>
        <v>4.7619047619047619</v>
      </c>
      <c r="T985" s="7" t="str" cm="1">
        <f t="array" ref="T985">_xlfn.IFS(Q984&gt;=8,"Excellent",Q984&gt;=6,"Good",Q984&gt;=4,"Average",TRUE,"Poor")</f>
        <v>Good</v>
      </c>
      <c r="U985" s="9">
        <f t="shared" si="47"/>
        <v>2.8522626643524836E-3</v>
      </c>
      <c r="V985" s="7" t="str" cm="1">
        <f t="array" ref="V985">_xlfn.IFS(HOUR(L984)&lt;12,"Morning",HOUR(L984)&lt;17,"Afternoon",HOUR(L984)&lt;21,"Evening",TRUE,"Night")</f>
        <v>Afternoon</v>
      </c>
    </row>
    <row r="986" spans="1:22" x14ac:dyDescent="0.3">
      <c r="A986" t="s">
        <v>1076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  <c r="R986" s="5" t="str">
        <f t="shared" si="45"/>
        <v>Medium Sale</v>
      </c>
      <c r="S986" s="7">
        <f t="shared" si="46"/>
        <v>4.7619047619047619</v>
      </c>
      <c r="T986" s="7" t="str" cm="1">
        <f t="array" ref="T986">_xlfn.IFS(Q985&gt;=8,"Excellent",Q985&gt;=6,"Good",Q985&gt;=4,"Average",TRUE,"Poor")</f>
        <v>Good</v>
      </c>
      <c r="U986" s="9">
        <f t="shared" si="47"/>
        <v>2.2748657633482878E-3</v>
      </c>
      <c r="V986" s="7" t="str" cm="1">
        <f t="array" ref="V986">_xlfn.IFS(HOUR(L985)&lt;12,"Morning",HOUR(L985)&lt;17,"Afternoon",HOUR(L985)&lt;21,"Evening",TRUE,"Night")</f>
        <v>Morning</v>
      </c>
    </row>
    <row r="987" spans="1:22" x14ac:dyDescent="0.3">
      <c r="A987" t="s">
        <v>1077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  <c r="R987" s="5" t="str">
        <f t="shared" si="45"/>
        <v>Medium Sale</v>
      </c>
      <c r="S987" s="7">
        <f t="shared" si="46"/>
        <v>4.7619047619047628</v>
      </c>
      <c r="T987" s="7" t="str" cm="1">
        <f t="array" ref="T987">_xlfn.IFS(Q986&gt;=8,"Excellent",Q986&gt;=6,"Good",Q986&gt;=4,"Average",TRUE,"Poor")</f>
        <v>Good</v>
      </c>
      <c r="U987" s="9">
        <f t="shared" si="47"/>
        <v>2.1931654022996645E-3</v>
      </c>
      <c r="V987" s="7" t="str" cm="1">
        <f t="array" ref="V987">_xlfn.IFS(HOUR(L986)&lt;12,"Morning",HOUR(L986)&lt;17,"Afternoon",HOUR(L986)&lt;21,"Evening",TRUE,"Night")</f>
        <v>Morning</v>
      </c>
    </row>
    <row r="988" spans="1:22" x14ac:dyDescent="0.3">
      <c r="A988" t="s">
        <v>1078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  <c r="R988" s="5" t="str">
        <f t="shared" si="45"/>
        <v>Low Sale</v>
      </c>
      <c r="S988" s="7">
        <f t="shared" si="46"/>
        <v>4.7619047619047619</v>
      </c>
      <c r="T988" s="7" t="str" cm="1">
        <f t="array" ref="T988">_xlfn.IFS(Q987&gt;=8,"Excellent",Q987&gt;=6,"Good",Q987&gt;=4,"Average",TRUE,"Poor")</f>
        <v>Excellent</v>
      </c>
      <c r="U988" s="9">
        <f t="shared" si="47"/>
        <v>1.0356406690027397E-3</v>
      </c>
      <c r="V988" s="7" t="str" cm="1">
        <f t="array" ref="V988">_xlfn.IFS(HOUR(L987)&lt;12,"Morning",HOUR(L987)&lt;17,"Afternoon",HOUR(L987)&lt;21,"Evening",TRUE,"Night")</f>
        <v>Evening</v>
      </c>
    </row>
    <row r="989" spans="1:22" x14ac:dyDescent="0.3">
      <c r="A989" t="s">
        <v>1079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  <c r="R989" s="5" t="str">
        <f t="shared" si="45"/>
        <v>Low Sale</v>
      </c>
      <c r="S989" s="7">
        <f t="shared" si="46"/>
        <v>4.7619047619047628</v>
      </c>
      <c r="T989" s="7" t="str" cm="1">
        <f t="array" ref="T989">_xlfn.IFS(Q988&gt;=8,"Excellent",Q988&gt;=6,"Good",Q988&gt;=4,"Average",TRUE,"Poor")</f>
        <v>Average</v>
      </c>
      <c r="U989" s="9">
        <f t="shared" si="47"/>
        <v>9.5972728139886597E-5</v>
      </c>
      <c r="V989" s="7" t="str" cm="1">
        <f t="array" ref="V989">_xlfn.IFS(HOUR(L988)&lt;12,"Morning",HOUR(L988)&lt;17,"Afternoon",HOUR(L988)&lt;21,"Evening",TRUE,"Night")</f>
        <v>Afternoon</v>
      </c>
    </row>
    <row r="990" spans="1:22" x14ac:dyDescent="0.3">
      <c r="A990" t="s">
        <v>1080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  <c r="R990" s="5" t="str">
        <f t="shared" si="45"/>
        <v>Medium Sale</v>
      </c>
      <c r="S990" s="7">
        <f t="shared" si="46"/>
        <v>4.7619047619047628</v>
      </c>
      <c r="T990" s="7" t="str" cm="1">
        <f t="array" ref="T990">_xlfn.IFS(Q989&gt;=8,"Excellent",Q989&gt;=6,"Good",Q989&gt;=4,"Average",TRUE,"Poor")</f>
        <v>Good</v>
      </c>
      <c r="U990" s="9">
        <f t="shared" si="47"/>
        <v>1.6125499037054115E-3</v>
      </c>
      <c r="V990" s="7" t="str" cm="1">
        <f t="array" ref="V990">_xlfn.IFS(HOUR(L989)&lt;12,"Morning",HOUR(L989)&lt;17,"Afternoon",HOUR(L989)&lt;21,"Evening",TRUE,"Night")</f>
        <v>Evening</v>
      </c>
    </row>
    <row r="991" spans="1:22" x14ac:dyDescent="0.3">
      <c r="A991" t="s">
        <v>1081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  <c r="R991" s="5" t="str">
        <f t="shared" si="45"/>
        <v>Medium Sale</v>
      </c>
      <c r="S991" s="7">
        <f t="shared" si="46"/>
        <v>4.7619047619047619</v>
      </c>
      <c r="T991" s="7" t="str" cm="1">
        <f t="array" ref="T991">_xlfn.IFS(Q990&gt;=8,"Excellent",Q990&gt;=6,"Good",Q990&gt;=4,"Average",TRUE,"Poor")</f>
        <v>Average</v>
      </c>
      <c r="U991" s="9">
        <f t="shared" si="47"/>
        <v>2.6769628844980566E-3</v>
      </c>
      <c r="V991" s="7" t="str" cm="1">
        <f t="array" ref="V991">_xlfn.IFS(HOUR(L990)&lt;12,"Morning",HOUR(L990)&lt;17,"Afternoon",HOUR(L990)&lt;21,"Evening",TRUE,"Night")</f>
        <v>Evening</v>
      </c>
    </row>
    <row r="992" spans="1:22" x14ac:dyDescent="0.3">
      <c r="A992" t="s">
        <v>1082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  <c r="R992" s="5" t="str">
        <f t="shared" si="45"/>
        <v>Medium Sale</v>
      </c>
      <c r="S992" s="7">
        <f t="shared" si="46"/>
        <v>4.7619047619047628</v>
      </c>
      <c r="T992" s="7" t="str" cm="1">
        <f t="array" ref="T992">_xlfn.IFS(Q991&gt;=8,"Excellent",Q991&gt;=6,"Good",Q991&gt;=4,"Average",TRUE,"Poor")</f>
        <v>Excellent</v>
      </c>
      <c r="U992" s="9">
        <f t="shared" si="47"/>
        <v>1.9602884877786592E-3</v>
      </c>
      <c r="V992" s="7" t="str" cm="1">
        <f t="array" ref="V992">_xlfn.IFS(HOUR(L991)&lt;12,"Morning",HOUR(L991)&lt;17,"Afternoon",HOUR(L991)&lt;21,"Evening",TRUE,"Night")</f>
        <v>Afternoon</v>
      </c>
    </row>
    <row r="993" spans="1:22" x14ac:dyDescent="0.3">
      <c r="A993" t="s">
        <v>1083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  <c r="R993" s="5" t="str">
        <f t="shared" si="45"/>
        <v>Low Sale</v>
      </c>
      <c r="S993" s="7">
        <f t="shared" si="46"/>
        <v>4.7619047619047628</v>
      </c>
      <c r="T993" s="7" t="str" cm="1">
        <f t="array" ref="T993">_xlfn.IFS(Q992&gt;=8,"Excellent",Q992&gt;=6,"Good",Q992&gt;=4,"Average",TRUE,"Poor")</f>
        <v>Average</v>
      </c>
      <c r="U993" s="9">
        <f t="shared" si="47"/>
        <v>9.1941353380623077E-4</v>
      </c>
      <c r="V993" s="7" t="str" cm="1">
        <f t="array" ref="V993">_xlfn.IFS(HOUR(L992)&lt;12,"Morning",HOUR(L992)&lt;17,"Afternoon",HOUR(L992)&lt;21,"Evening",TRUE,"Night")</f>
        <v>Evening</v>
      </c>
    </row>
    <row r="994" spans="1:22" x14ac:dyDescent="0.3">
      <c r="A994" t="s">
        <v>1084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5" t="str">
        <f t="shared" si="45"/>
        <v>Medium Sale</v>
      </c>
      <c r="S994" s="7">
        <f t="shared" si="46"/>
        <v>4.7619047619047619</v>
      </c>
      <c r="T994" s="7" t="str" cm="1">
        <f t="array" ref="T994">_xlfn.IFS(Q993&gt;=8,"Excellent",Q993&gt;=6,"Good",Q993&gt;=4,"Average",TRUE,"Poor")</f>
        <v>Good</v>
      </c>
      <c r="U994" s="9">
        <f t="shared" si="47"/>
        <v>2.4903492464482769E-3</v>
      </c>
      <c r="V994" s="7" t="str" cm="1">
        <f t="array" ref="V994">_xlfn.IFS(HOUR(L993)&lt;12,"Morning",HOUR(L993)&lt;17,"Afternoon",HOUR(L993)&lt;21,"Evening",TRUE,"Night")</f>
        <v>Evening</v>
      </c>
    </row>
    <row r="995" spans="1:22" x14ac:dyDescent="0.3">
      <c r="A995" t="s">
        <v>1085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  <c r="R995" s="5" t="str">
        <f t="shared" si="45"/>
        <v>Low Sale</v>
      </c>
      <c r="S995" s="7">
        <f t="shared" si="46"/>
        <v>4.7619047619047619</v>
      </c>
      <c r="T995" s="7" t="str" cm="1">
        <f t="array" ref="T995">_xlfn.IFS(Q994&gt;=8,"Excellent",Q994&gt;=6,"Good",Q994&gt;=4,"Average",TRUE,"Poor")</f>
        <v>Excellent</v>
      </c>
      <c r="U995" s="9">
        <f t="shared" si="47"/>
        <v>3.7732367303235906E-4</v>
      </c>
      <c r="V995" s="7" t="str" cm="1">
        <f t="array" ref="V995">_xlfn.IFS(HOUR(L994)&lt;12,"Morning",HOUR(L994)&lt;17,"Afternoon",HOUR(L994)&lt;21,"Evening",TRUE,"Night")</f>
        <v>Evening</v>
      </c>
    </row>
    <row r="996" spans="1:22" x14ac:dyDescent="0.3">
      <c r="A996" t="s">
        <v>1086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  <c r="R996" s="5" t="str">
        <f t="shared" si="45"/>
        <v>Low Sale</v>
      </c>
      <c r="S996" s="7">
        <f t="shared" si="46"/>
        <v>4.761904761904761</v>
      </c>
      <c r="T996" s="7" t="str" cm="1">
        <f t="array" ref="T996">_xlfn.IFS(Q995&gt;=8,"Excellent",Q995&gt;=6,"Good",Q995&gt;=4,"Average",TRUE,"Poor")</f>
        <v>Good</v>
      </c>
      <c r="U996" s="9">
        <f t="shared" si="47"/>
        <v>5.6861890757676722E-4</v>
      </c>
      <c r="V996" s="7" t="str" cm="1">
        <f t="array" ref="V996">_xlfn.IFS(HOUR(L995)&lt;12,"Morning",HOUR(L995)&lt;17,"Afternoon",HOUR(L995)&lt;21,"Evening",TRUE,"Night")</f>
        <v>Evening</v>
      </c>
    </row>
    <row r="997" spans="1:22" x14ac:dyDescent="0.3">
      <c r="A997" t="s">
        <v>1087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  <c r="R997" s="5" t="str">
        <f t="shared" si="45"/>
        <v>Low Sale</v>
      </c>
      <c r="S997" s="7">
        <f t="shared" si="46"/>
        <v>4.7619047619047619</v>
      </c>
      <c r="T997" s="7" t="str" cm="1">
        <f t="array" ref="T997">_xlfn.IFS(Q996&gt;=8,"Excellent",Q996&gt;=6,"Good",Q996&gt;=4,"Average",TRUE,"Poor")</f>
        <v>Average</v>
      </c>
      <c r="U997" s="9">
        <f t="shared" si="47"/>
        <v>1.9815507385250979E-4</v>
      </c>
      <c r="V997" s="7" t="str" cm="1">
        <f t="array" ref="V997">_xlfn.IFS(HOUR(L996)&lt;12,"Morning",HOUR(L996)&lt;17,"Afternoon",HOUR(L996)&lt;21,"Evening",TRUE,"Night")</f>
        <v>Morning</v>
      </c>
    </row>
    <row r="998" spans="1:22" x14ac:dyDescent="0.3">
      <c r="A998" t="s">
        <v>1088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  <c r="R998" s="5" t="str">
        <f t="shared" si="45"/>
        <v>Low Sale</v>
      </c>
      <c r="S998" s="7">
        <f t="shared" si="46"/>
        <v>4.7619047619047628</v>
      </c>
      <c r="T998" s="7" t="str" cm="1">
        <f t="array" ref="T998">_xlfn.IFS(Q997&gt;=8,"Excellent",Q997&gt;=6,"Good",Q997&gt;=4,"Average",TRUE,"Poor")</f>
        <v>Good</v>
      </c>
      <c r="U998" s="9">
        <f t="shared" si="47"/>
        <v>1.3118223510990597E-4</v>
      </c>
      <c r="V998" s="7" t="str" cm="1">
        <f t="array" ref="V998">_xlfn.IFS(HOUR(L997)&lt;12,"Morning",HOUR(L997)&lt;17,"Afternoon",HOUR(L997)&lt;21,"Evening",TRUE,"Night")</f>
        <v>Afternoon</v>
      </c>
    </row>
    <row r="999" spans="1:22" x14ac:dyDescent="0.3">
      <c r="A999" t="s">
        <v>1089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  <c r="R999" s="5" t="str">
        <f t="shared" si="45"/>
        <v>High Sale</v>
      </c>
      <c r="S999" s="7">
        <f t="shared" si="46"/>
        <v>4.7619047619047619</v>
      </c>
      <c r="T999" s="7" t="str" cm="1">
        <f t="array" ref="T999">_xlfn.IFS(Q998&gt;=8,"Excellent",Q998&gt;=6,"Good",Q998&gt;=4,"Average",TRUE,"Poor")</f>
        <v>Average</v>
      </c>
      <c r="U999" s="9">
        <f t="shared" si="47"/>
        <v>3.1659296294926009E-3</v>
      </c>
      <c r="V999" s="7" t="str" cm="1">
        <f t="array" ref="V999">_xlfn.IFS(HOUR(L998)&lt;12,"Morning",HOUR(L998)&lt;17,"Afternoon",HOUR(L998)&lt;21,"Evening",TRUE,"Night")</f>
        <v>Evening</v>
      </c>
    </row>
    <row r="1000" spans="1:22" x14ac:dyDescent="0.3">
      <c r="A1000" t="s">
        <v>1090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5" t="str">
        <f t="shared" si="45"/>
        <v>Low Sale</v>
      </c>
      <c r="S1000" s="7">
        <f t="shared" si="46"/>
        <v>4.7619047619047619</v>
      </c>
      <c r="T1000" s="7" t="str" cm="1">
        <f t="array" ref="T1000">_xlfn.IFS(Q999&gt;=8,"Excellent",Q999&gt;=6,"Good",Q999&gt;=4,"Average",TRUE,"Poor")</f>
        <v>Good</v>
      </c>
      <c r="U1000" s="9">
        <f t="shared" si="47"/>
        <v>1.0351530027012159E-4</v>
      </c>
      <c r="V1000" s="7" t="str" cm="1">
        <f t="array" ref="V1000">_xlfn.IFS(HOUR(L999)&lt;12,"Morning",HOUR(L999)&lt;17,"Afternoon",HOUR(L999)&lt;21,"Evening",TRUE,"Night")</f>
        <v>Afternoon</v>
      </c>
    </row>
    <row r="1001" spans="1:22" x14ac:dyDescent="0.3">
      <c r="A1001" t="s">
        <v>1091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  <c r="R1001" s="5" t="str">
        <f t="shared" si="45"/>
        <v>Low Sale</v>
      </c>
      <c r="S1001" s="7">
        <f t="shared" si="46"/>
        <v>4.7619047619047619</v>
      </c>
      <c r="T1001" s="7" t="str" cm="1">
        <f t="array" ref="T1001">_xlfn.IFS(Q1000&gt;=8,"Excellent",Q1000&gt;=6,"Good",Q1000&gt;=4,"Average",TRUE,"Poor")</f>
        <v>Average</v>
      </c>
      <c r="U1001" s="9">
        <f t="shared" si="47"/>
        <v>2.1398797310864961E-4</v>
      </c>
      <c r="V1001" s="7" t="str" cm="1">
        <f t="array" ref="V1001">_xlfn.IFS(HOUR(L1000)&lt;12,"Morning",HOUR(L1000)&lt;17,"Afternoon",HOUR(L1000)&lt;21,"Evening",TRUE,"Night")</f>
        <v>Afternoon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00D9-9383-4EB2-B687-41B8F57512AE}">
  <dimension ref="P43:Q45"/>
  <sheetViews>
    <sheetView tabSelected="1" zoomScale="51" zoomScaleNormal="90" workbookViewId="0">
      <selection activeCell="U47" sqref="U47"/>
    </sheetView>
  </sheetViews>
  <sheetFormatPr defaultRowHeight="14.4" x14ac:dyDescent="0.3"/>
  <cols>
    <col min="16" max="16" width="25.21875" customWidth="1"/>
    <col min="19" max="19" width="50" customWidth="1"/>
  </cols>
  <sheetData>
    <row r="43" spans="16:17" x14ac:dyDescent="0.3">
      <c r="P43" s="8">
        <v>15.36381381</v>
      </c>
      <c r="Q43" t="s">
        <v>236</v>
      </c>
    </row>
    <row r="44" spans="16:17" x14ac:dyDescent="0.3">
      <c r="P44" s="10">
        <v>322317.45</v>
      </c>
      <c r="Q44" t="s">
        <v>241</v>
      </c>
    </row>
    <row r="45" spans="16:17" x14ac:dyDescent="0.3">
      <c r="P45" t="s">
        <v>50</v>
      </c>
      <c r="Q45" t="s">
        <v>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SuperMarket Analysis (1)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sri</dc:creator>
  <cp:lastModifiedBy>divya v</cp:lastModifiedBy>
  <dcterms:created xsi:type="dcterms:W3CDTF">2026-06-01T13:24:34Z</dcterms:created>
  <dcterms:modified xsi:type="dcterms:W3CDTF">2026-06-02T06:25:16Z</dcterms:modified>
</cp:coreProperties>
</file>